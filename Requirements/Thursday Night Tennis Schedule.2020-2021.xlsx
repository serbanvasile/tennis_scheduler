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 codeName="ThisWorkbook" defaultThemeVersion="124226"/>
  <xr:revisionPtr revIDLastSave="0" documentId="13_ncr:1_{94BA12A5-8D4C-412E-8400-14C41077D0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0-2021 Schedule" sheetId="1" r:id="rId1"/>
    <sheet name="Sheet1" sheetId="2" r:id="rId2"/>
  </sheets>
  <definedNames>
    <definedName name="Matches">'2020-2021 Schedule'!$T$12:$AI$14</definedName>
    <definedName name="NAME">'2020-2021 Schedule'!$N$18:$N$37</definedName>
    <definedName name="Player" workbookParameter="1">'2020-2021 Schedule'!$U$2</definedName>
    <definedName name="Player_Name">'2020-2021 Schedule'!$U$2</definedName>
    <definedName name="Player_Other" workbookParameter="1">'2020-2021 Schedule'!$X$2</definedName>
    <definedName name="Players">'2020-2021 Schedule'!$M$19:$Q$37</definedName>
    <definedName name="Week_Of_Date" workbookParameter="1">'2020-2021 Schedule'!$T$16</definedName>
  </definedNames>
  <calcPr calcId="191028"/>
  <webPublishing vml="1" allowPng="1" targetScreenSize="1024x768"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K20" i="1"/>
  <c r="AG20" i="1" s="1"/>
  <c r="K21" i="1"/>
  <c r="AG21" i="1"/>
  <c r="K22" i="1"/>
  <c r="AG22" i="1"/>
  <c r="K23" i="1"/>
  <c r="AG23" i="1" s="1"/>
  <c r="K24" i="1"/>
  <c r="AG24" i="1"/>
  <c r="K25" i="1"/>
  <c r="AG25" i="1"/>
  <c r="K26" i="1"/>
  <c r="AG26" i="1" s="1"/>
  <c r="K27" i="1"/>
  <c r="K28" i="1"/>
  <c r="AG28" i="1"/>
  <c r="K29" i="1"/>
  <c r="AG29" i="1"/>
  <c r="K30" i="1"/>
  <c r="AG30" i="1"/>
  <c r="K31" i="1"/>
  <c r="AG31" i="1" s="1"/>
  <c r="K32" i="1"/>
  <c r="AG32" i="1" s="1"/>
  <c r="K33" i="1"/>
  <c r="AG33" i="1" s="1"/>
  <c r="K34" i="1"/>
  <c r="AG34" i="1"/>
  <c r="K35" i="1"/>
  <c r="AG35" i="1" s="1"/>
  <c r="K36" i="1"/>
  <c r="AG36" i="1" s="1"/>
  <c r="K37" i="1"/>
  <c r="AG37" i="1"/>
  <c r="K38" i="1"/>
  <c r="AG38" i="1"/>
  <c r="K39" i="1"/>
  <c r="AG39" i="1"/>
  <c r="K40" i="1"/>
  <c r="AG40" i="1"/>
  <c r="K41" i="1"/>
  <c r="AG41" i="1" s="1"/>
  <c r="K42" i="1"/>
  <c r="AG42" i="1"/>
  <c r="K43" i="1"/>
  <c r="AG43" i="1"/>
  <c r="K44" i="1"/>
  <c r="AG44" i="1" s="1"/>
  <c r="K45" i="1"/>
  <c r="AG45" i="1"/>
  <c r="K46" i="1"/>
  <c r="AG46" i="1" s="1"/>
  <c r="K47" i="1"/>
  <c r="AG47" i="1"/>
  <c r="K48" i="1"/>
  <c r="K49" i="1"/>
  <c r="AG49" i="1"/>
  <c r="K50" i="1"/>
  <c r="AG50" i="1"/>
  <c r="K51" i="1"/>
  <c r="K52" i="1"/>
  <c r="AG52" i="1" s="1"/>
  <c r="K53" i="1"/>
  <c r="AG53" i="1"/>
  <c r="K54" i="1"/>
  <c r="AG54" i="1"/>
  <c r="K55" i="1"/>
  <c r="K56" i="1"/>
  <c r="AG56" i="1" s="1"/>
  <c r="K57" i="1"/>
  <c r="K58" i="1"/>
  <c r="AG58" i="1"/>
  <c r="K59" i="1"/>
  <c r="AG59" i="1"/>
  <c r="J20" i="1"/>
  <c r="X20" i="1"/>
  <c r="J21" i="1"/>
  <c r="X21" i="1" s="1"/>
  <c r="U3" i="1" s="1"/>
  <c r="U19" i="1"/>
  <c r="T19" i="1" s="1"/>
  <c r="U20" i="1"/>
  <c r="T20" i="1"/>
  <c r="U21" i="1"/>
  <c r="T21" i="1"/>
  <c r="J22" i="1"/>
  <c r="X22" i="1"/>
  <c r="J23" i="1"/>
  <c r="X23" i="1"/>
  <c r="J24" i="1"/>
  <c r="X24" i="1" s="1"/>
  <c r="J25" i="1"/>
  <c r="X25" i="1" s="1"/>
  <c r="J26" i="1"/>
  <c r="X26" i="1"/>
  <c r="J27" i="1"/>
  <c r="X27" i="1"/>
  <c r="J28" i="1"/>
  <c r="X28" i="1"/>
  <c r="J29" i="1"/>
  <c r="X29" i="1"/>
  <c r="J30" i="1"/>
  <c r="X30" i="1"/>
  <c r="J31" i="1"/>
  <c r="X31" i="1" s="1"/>
  <c r="J32" i="1"/>
  <c r="X32" i="1" s="1"/>
  <c r="J33" i="1"/>
  <c r="J34" i="1"/>
  <c r="X34" i="1"/>
  <c r="J35" i="1"/>
  <c r="X35" i="1"/>
  <c r="J36" i="1"/>
  <c r="X36" i="1" s="1"/>
  <c r="J37" i="1"/>
  <c r="X37" i="1"/>
  <c r="J38" i="1"/>
  <c r="X38" i="1"/>
  <c r="J39" i="1"/>
  <c r="X39" i="1"/>
  <c r="J40" i="1"/>
  <c r="J41" i="1"/>
  <c r="J42" i="1"/>
  <c r="X42" i="1"/>
  <c r="J43" i="1"/>
  <c r="X43" i="1"/>
  <c r="J44" i="1"/>
  <c r="X44" i="1" s="1"/>
  <c r="J45" i="1"/>
  <c r="X45" i="1"/>
  <c r="J46" i="1"/>
  <c r="X46" i="1"/>
  <c r="J47" i="1"/>
  <c r="J48" i="1"/>
  <c r="X48" i="1" s="1"/>
  <c r="J49" i="1"/>
  <c r="X49" i="1"/>
  <c r="J50" i="1"/>
  <c r="X50" i="1"/>
  <c r="J51" i="1"/>
  <c r="X51" i="1"/>
  <c r="J52" i="1"/>
  <c r="X52" i="1"/>
  <c r="J53" i="1"/>
  <c r="X53" i="1"/>
  <c r="J54" i="1"/>
  <c r="X54" i="1" s="1"/>
  <c r="J55" i="1"/>
  <c r="X55" i="1" s="1"/>
  <c r="J56" i="1"/>
  <c r="X56" i="1"/>
  <c r="J57" i="1"/>
  <c r="X57" i="1"/>
  <c r="J58" i="1"/>
  <c r="X58" i="1"/>
  <c r="J59" i="1"/>
  <c r="X59" i="1"/>
  <c r="K19" i="1"/>
  <c r="AG19" i="1"/>
  <c r="X19" i="1"/>
  <c r="AG27" i="1"/>
  <c r="AG48" i="1"/>
  <c r="AG51" i="1"/>
  <c r="AG55" i="1"/>
  <c r="AG57" i="1"/>
  <c r="X47" i="1"/>
  <c r="X41" i="1"/>
  <c r="X40" i="1"/>
  <c r="X33" i="1"/>
  <c r="AI59" i="1"/>
  <c r="AH59" i="1"/>
  <c r="AF59" i="1"/>
  <c r="AE59" i="1"/>
  <c r="AI58" i="1"/>
  <c r="AH58" i="1"/>
  <c r="AF58" i="1"/>
  <c r="AE58" i="1"/>
  <c r="AI57" i="1"/>
  <c r="AH57" i="1"/>
  <c r="AF57" i="1"/>
  <c r="AE57" i="1"/>
  <c r="AI56" i="1"/>
  <c r="AH56" i="1"/>
  <c r="AF56" i="1"/>
  <c r="AE56" i="1"/>
  <c r="AI55" i="1"/>
  <c r="AH55" i="1"/>
  <c r="AF55" i="1"/>
  <c r="AE55" i="1"/>
  <c r="AI54" i="1"/>
  <c r="AH54" i="1"/>
  <c r="AF54" i="1"/>
  <c r="AE54" i="1"/>
  <c r="AI53" i="1"/>
  <c r="AH53" i="1"/>
  <c r="AF53" i="1"/>
  <c r="AE53" i="1"/>
  <c r="AI52" i="1"/>
  <c r="AH52" i="1"/>
  <c r="AF52" i="1"/>
  <c r="AE52" i="1"/>
  <c r="AI51" i="1"/>
  <c r="AH51" i="1"/>
  <c r="AF51" i="1"/>
  <c r="AE51" i="1"/>
  <c r="AI50" i="1"/>
  <c r="AH50" i="1"/>
  <c r="AF50" i="1"/>
  <c r="AE50" i="1"/>
  <c r="AI49" i="1"/>
  <c r="AH49" i="1"/>
  <c r="AF49" i="1"/>
  <c r="AE49" i="1"/>
  <c r="AI48" i="1"/>
  <c r="AH48" i="1"/>
  <c r="AF48" i="1"/>
  <c r="AE48" i="1"/>
  <c r="AI47" i="1"/>
  <c r="AH47" i="1"/>
  <c r="AF47" i="1"/>
  <c r="AE47" i="1"/>
  <c r="AI46" i="1"/>
  <c r="AH46" i="1"/>
  <c r="AF46" i="1"/>
  <c r="AE46" i="1"/>
  <c r="AI45" i="1"/>
  <c r="AH45" i="1"/>
  <c r="AF45" i="1"/>
  <c r="AE45" i="1"/>
  <c r="AI44" i="1"/>
  <c r="AH44" i="1"/>
  <c r="AF44" i="1"/>
  <c r="AE44" i="1"/>
  <c r="AI43" i="1"/>
  <c r="AH43" i="1"/>
  <c r="AF43" i="1"/>
  <c r="AE43" i="1"/>
  <c r="AI42" i="1"/>
  <c r="AH42" i="1"/>
  <c r="AF42" i="1"/>
  <c r="AE42" i="1"/>
  <c r="AI41" i="1"/>
  <c r="AH41" i="1"/>
  <c r="AF41" i="1"/>
  <c r="AE41" i="1"/>
  <c r="AI40" i="1"/>
  <c r="AH40" i="1"/>
  <c r="AF40" i="1"/>
  <c r="AE40" i="1"/>
  <c r="AI39" i="1"/>
  <c r="AH39" i="1"/>
  <c r="AF39" i="1"/>
  <c r="AE39" i="1"/>
  <c r="AI38" i="1"/>
  <c r="AH38" i="1"/>
  <c r="AF38" i="1"/>
  <c r="AE38" i="1"/>
  <c r="AI37" i="1"/>
  <c r="AH37" i="1"/>
  <c r="AF37" i="1"/>
  <c r="AE37" i="1"/>
  <c r="AI36" i="1"/>
  <c r="AH36" i="1"/>
  <c r="AF36" i="1"/>
  <c r="AE36" i="1"/>
  <c r="AI35" i="1"/>
  <c r="AH35" i="1"/>
  <c r="AF35" i="1"/>
  <c r="AE35" i="1"/>
  <c r="AI34" i="1"/>
  <c r="AH34" i="1"/>
  <c r="AF34" i="1"/>
  <c r="AE34" i="1"/>
  <c r="AI33" i="1"/>
  <c r="AH33" i="1"/>
  <c r="AF33" i="1"/>
  <c r="AE33" i="1"/>
  <c r="AI32" i="1"/>
  <c r="AH32" i="1"/>
  <c r="AF32" i="1"/>
  <c r="AE32" i="1"/>
  <c r="AI31" i="1"/>
  <c r="AH31" i="1"/>
  <c r="AF31" i="1"/>
  <c r="AE31" i="1"/>
  <c r="AI30" i="1"/>
  <c r="AH30" i="1"/>
  <c r="AF30" i="1"/>
  <c r="AE30" i="1"/>
  <c r="AI29" i="1"/>
  <c r="AH29" i="1"/>
  <c r="AF29" i="1"/>
  <c r="AE29" i="1"/>
  <c r="AI28" i="1"/>
  <c r="AH28" i="1"/>
  <c r="AF28" i="1"/>
  <c r="AE28" i="1"/>
  <c r="AI27" i="1"/>
  <c r="AH27" i="1"/>
  <c r="AF27" i="1"/>
  <c r="AE27" i="1"/>
  <c r="AI26" i="1"/>
  <c r="AH26" i="1"/>
  <c r="AF26" i="1"/>
  <c r="AE26" i="1"/>
  <c r="AI25" i="1"/>
  <c r="AH25" i="1"/>
  <c r="AF25" i="1"/>
  <c r="AE25" i="1"/>
  <c r="AI24" i="1"/>
  <c r="AH24" i="1"/>
  <c r="AF24" i="1"/>
  <c r="AE24" i="1"/>
  <c r="AI23" i="1"/>
  <c r="AH23" i="1"/>
  <c r="AF23" i="1"/>
  <c r="AE23" i="1"/>
  <c r="AI22" i="1"/>
  <c r="AH22" i="1"/>
  <c r="AF22" i="1"/>
  <c r="AE22" i="1"/>
  <c r="AI21" i="1"/>
  <c r="AH21" i="1"/>
  <c r="AF21" i="1"/>
  <c r="AE21" i="1"/>
  <c r="AI20" i="1"/>
  <c r="AH20" i="1"/>
  <c r="AF20" i="1"/>
  <c r="AE20" i="1"/>
  <c r="AI19" i="1"/>
  <c r="AH19" i="1"/>
  <c r="AF19" i="1"/>
  <c r="AE19" i="1"/>
  <c r="Z59" i="1"/>
  <c r="Y59" i="1"/>
  <c r="W59" i="1"/>
  <c r="V59" i="1"/>
  <c r="Z58" i="1"/>
  <c r="Y58" i="1"/>
  <c r="W58" i="1"/>
  <c r="V58" i="1"/>
  <c r="Z57" i="1"/>
  <c r="Y57" i="1"/>
  <c r="W57" i="1"/>
  <c r="V57" i="1"/>
  <c r="Z56" i="1"/>
  <c r="Y56" i="1"/>
  <c r="W56" i="1"/>
  <c r="V56" i="1"/>
  <c r="Z55" i="1"/>
  <c r="Y55" i="1"/>
  <c r="W55" i="1"/>
  <c r="V55" i="1"/>
  <c r="Z54" i="1"/>
  <c r="Y54" i="1"/>
  <c r="W54" i="1"/>
  <c r="V54" i="1"/>
  <c r="Z53" i="1"/>
  <c r="Y53" i="1"/>
  <c r="W53" i="1"/>
  <c r="V53" i="1"/>
  <c r="Z52" i="1"/>
  <c r="Y52" i="1"/>
  <c r="W52" i="1"/>
  <c r="V52" i="1"/>
  <c r="Z51" i="1"/>
  <c r="Y51" i="1"/>
  <c r="W51" i="1"/>
  <c r="V51" i="1"/>
  <c r="Z50" i="1"/>
  <c r="Y50" i="1"/>
  <c r="W50" i="1"/>
  <c r="V50" i="1"/>
  <c r="Z49" i="1"/>
  <c r="Y49" i="1"/>
  <c r="W49" i="1"/>
  <c r="V49" i="1"/>
  <c r="Z48" i="1"/>
  <c r="Y48" i="1"/>
  <c r="W48" i="1"/>
  <c r="V48" i="1"/>
  <c r="Z47" i="1"/>
  <c r="Y47" i="1"/>
  <c r="W47" i="1"/>
  <c r="V47" i="1"/>
  <c r="Z46" i="1"/>
  <c r="Y46" i="1"/>
  <c r="W46" i="1"/>
  <c r="V46" i="1"/>
  <c r="Z45" i="1"/>
  <c r="Y45" i="1"/>
  <c r="W45" i="1"/>
  <c r="V45" i="1"/>
  <c r="Z44" i="1"/>
  <c r="Y44" i="1"/>
  <c r="W44" i="1"/>
  <c r="V44" i="1"/>
  <c r="Z43" i="1"/>
  <c r="Y43" i="1"/>
  <c r="W43" i="1"/>
  <c r="V43" i="1"/>
  <c r="Z42" i="1"/>
  <c r="Y42" i="1"/>
  <c r="W42" i="1"/>
  <c r="V42" i="1"/>
  <c r="Z41" i="1"/>
  <c r="Y41" i="1"/>
  <c r="W41" i="1"/>
  <c r="V41" i="1"/>
  <c r="Z40" i="1"/>
  <c r="Y40" i="1"/>
  <c r="W40" i="1"/>
  <c r="V40" i="1"/>
  <c r="Z39" i="1"/>
  <c r="Y39" i="1"/>
  <c r="W39" i="1"/>
  <c r="V39" i="1"/>
  <c r="Z38" i="1"/>
  <c r="Y38" i="1"/>
  <c r="W38" i="1"/>
  <c r="V38" i="1"/>
  <c r="Z37" i="1"/>
  <c r="Y37" i="1"/>
  <c r="W37" i="1"/>
  <c r="V37" i="1"/>
  <c r="Z36" i="1"/>
  <c r="Y36" i="1"/>
  <c r="W36" i="1"/>
  <c r="V36" i="1"/>
  <c r="Z35" i="1"/>
  <c r="Y35" i="1"/>
  <c r="W35" i="1"/>
  <c r="V35" i="1"/>
  <c r="Z34" i="1"/>
  <c r="Y34" i="1"/>
  <c r="W34" i="1"/>
  <c r="V34" i="1"/>
  <c r="Z33" i="1"/>
  <c r="Y33" i="1"/>
  <c r="W33" i="1"/>
  <c r="V33" i="1"/>
  <c r="Z32" i="1"/>
  <c r="Y32" i="1"/>
  <c r="W32" i="1"/>
  <c r="V32" i="1"/>
  <c r="Z31" i="1"/>
  <c r="Y31" i="1"/>
  <c r="W31" i="1"/>
  <c r="V31" i="1"/>
  <c r="Z30" i="1"/>
  <c r="Y30" i="1"/>
  <c r="W30" i="1"/>
  <c r="V30" i="1"/>
  <c r="Z29" i="1"/>
  <c r="Y29" i="1"/>
  <c r="W29" i="1"/>
  <c r="V29" i="1"/>
  <c r="Z28" i="1"/>
  <c r="Y28" i="1"/>
  <c r="W28" i="1"/>
  <c r="V28" i="1"/>
  <c r="Z27" i="1"/>
  <c r="Y27" i="1"/>
  <c r="W27" i="1"/>
  <c r="V27" i="1"/>
  <c r="Z26" i="1"/>
  <c r="Y26" i="1"/>
  <c r="W26" i="1"/>
  <c r="V26" i="1"/>
  <c r="Z25" i="1"/>
  <c r="Y25" i="1"/>
  <c r="W25" i="1"/>
  <c r="V25" i="1"/>
  <c r="Z24" i="1"/>
  <c r="Y24" i="1"/>
  <c r="W24" i="1"/>
  <c r="V24" i="1"/>
  <c r="Z23" i="1"/>
  <c r="Y23" i="1"/>
  <c r="W23" i="1"/>
  <c r="V23" i="1"/>
  <c r="Z22" i="1"/>
  <c r="Y22" i="1"/>
  <c r="W22" i="1"/>
  <c r="V22" i="1"/>
  <c r="Z21" i="1"/>
  <c r="Y21" i="1"/>
  <c r="W21" i="1"/>
  <c r="V21" i="1"/>
  <c r="X7" i="1"/>
  <c r="V19" i="1"/>
  <c r="V20" i="1"/>
  <c r="W20" i="1"/>
  <c r="Y19" i="1"/>
  <c r="Y20" i="1"/>
  <c r="Z19" i="1"/>
  <c r="Z20" i="1"/>
  <c r="X8" i="1"/>
  <c r="W19" i="1"/>
  <c r="X9" i="1"/>
  <c r="AD59" i="1"/>
  <c r="AC59" i="1"/>
  <c r="U59" i="1"/>
  <c r="T59" i="1" s="1"/>
  <c r="AD58" i="1"/>
  <c r="AC58" i="1"/>
  <c r="U58" i="1"/>
  <c r="T58" i="1"/>
  <c r="AI7" i="1"/>
  <c r="U7" i="1"/>
  <c r="U8" i="1"/>
  <c r="U22" i="1"/>
  <c r="T22" i="1" s="1"/>
  <c r="AD19" i="1"/>
  <c r="AC19" i="1"/>
  <c r="AD20" i="1"/>
  <c r="AC20" i="1"/>
  <c r="AD21" i="1"/>
  <c r="AC21" i="1" s="1"/>
  <c r="AD22" i="1"/>
  <c r="AC22" i="1"/>
  <c r="U23" i="1"/>
  <c r="T23" i="1"/>
  <c r="AD23" i="1"/>
  <c r="AC23" i="1"/>
  <c r="U24" i="1"/>
  <c r="T24" i="1" s="1"/>
  <c r="AD24" i="1"/>
  <c r="AC24" i="1"/>
  <c r="U25" i="1"/>
  <c r="T25" i="1"/>
  <c r="AD25" i="1"/>
  <c r="AC25" i="1" s="1"/>
  <c r="U26" i="1"/>
  <c r="T26" i="1" s="1"/>
  <c r="AD26" i="1"/>
  <c r="AC26" i="1" s="1"/>
  <c r="U27" i="1"/>
  <c r="T27" i="1"/>
  <c r="AD27" i="1"/>
  <c r="AC27" i="1"/>
  <c r="U28" i="1"/>
  <c r="T28" i="1"/>
  <c r="AD28" i="1"/>
  <c r="AC28" i="1"/>
  <c r="U29" i="1"/>
  <c r="T29" i="1" s="1"/>
  <c r="AD29" i="1"/>
  <c r="AC29" i="1" s="1"/>
  <c r="U30" i="1"/>
  <c r="T30" i="1"/>
  <c r="AD30" i="1"/>
  <c r="AC30" i="1"/>
  <c r="U31" i="1"/>
  <c r="T31" i="1"/>
  <c r="AD31" i="1"/>
  <c r="AC31" i="1"/>
  <c r="U32" i="1"/>
  <c r="T32" i="1"/>
  <c r="AD32" i="1"/>
  <c r="AC32" i="1"/>
  <c r="U33" i="1"/>
  <c r="T33" i="1" s="1"/>
  <c r="AD33" i="1"/>
  <c r="AC33" i="1"/>
  <c r="U34" i="1"/>
  <c r="T34" i="1"/>
  <c r="AD34" i="1"/>
  <c r="AC34" i="1"/>
  <c r="U35" i="1"/>
  <c r="T35" i="1"/>
  <c r="AD35" i="1"/>
  <c r="AC35" i="1"/>
  <c r="U36" i="1"/>
  <c r="T36" i="1"/>
  <c r="AD36" i="1"/>
  <c r="AC36" i="1" s="1"/>
  <c r="U37" i="1"/>
  <c r="T37" i="1"/>
  <c r="AD37" i="1"/>
  <c r="AC37" i="1"/>
  <c r="U38" i="1"/>
  <c r="T38" i="1"/>
  <c r="AD38" i="1"/>
  <c r="AC38" i="1"/>
  <c r="U39" i="1"/>
  <c r="T39" i="1"/>
  <c r="AD39" i="1"/>
  <c r="AC39" i="1"/>
  <c r="U40" i="1"/>
  <c r="T40" i="1" s="1"/>
  <c r="AD40" i="1"/>
  <c r="AC40" i="1"/>
  <c r="U41" i="1"/>
  <c r="T41" i="1"/>
  <c r="AD41" i="1"/>
  <c r="AC41" i="1"/>
  <c r="U42" i="1"/>
  <c r="T42" i="1"/>
  <c r="AD42" i="1"/>
  <c r="AC42" i="1"/>
  <c r="U43" i="1"/>
  <c r="T43" i="1"/>
  <c r="AD43" i="1"/>
  <c r="AC43" i="1" s="1"/>
  <c r="U44" i="1"/>
  <c r="T44" i="1"/>
  <c r="AD44" i="1"/>
  <c r="AC44" i="1"/>
  <c r="U45" i="1"/>
  <c r="T45" i="1"/>
  <c r="AD45" i="1"/>
  <c r="AC45" i="1"/>
  <c r="U46" i="1"/>
  <c r="T46" i="1"/>
  <c r="AD46" i="1"/>
  <c r="AC46" i="1"/>
  <c r="U47" i="1"/>
  <c r="T47" i="1" s="1"/>
  <c r="AD47" i="1"/>
  <c r="AC47" i="1"/>
  <c r="U48" i="1"/>
  <c r="T48" i="1"/>
  <c r="AD48" i="1"/>
  <c r="AC48" i="1"/>
  <c r="U49" i="1"/>
  <c r="T49" i="1"/>
  <c r="AD49" i="1"/>
  <c r="AC49" i="1"/>
  <c r="U50" i="1"/>
  <c r="T50" i="1"/>
  <c r="AD50" i="1"/>
  <c r="AC50" i="1" s="1"/>
  <c r="U51" i="1"/>
  <c r="T51" i="1"/>
  <c r="AD51" i="1"/>
  <c r="AC51" i="1"/>
  <c r="U52" i="1"/>
  <c r="T52" i="1"/>
  <c r="AD52" i="1"/>
  <c r="AC52" i="1"/>
  <c r="U53" i="1"/>
  <c r="T53" i="1"/>
  <c r="AD53" i="1"/>
  <c r="AC53" i="1"/>
  <c r="U54" i="1"/>
  <c r="T54" i="1" s="1"/>
  <c r="AD54" i="1"/>
  <c r="AC54" i="1"/>
  <c r="U55" i="1"/>
  <c r="T55" i="1"/>
  <c r="AD55" i="1"/>
  <c r="AC55" i="1"/>
  <c r="U56" i="1"/>
  <c r="T56" i="1"/>
  <c r="AD56" i="1"/>
  <c r="AC56" i="1"/>
  <c r="U57" i="1"/>
  <c r="T57" i="1"/>
  <c r="AD57" i="1"/>
  <c r="AC57" i="1" s="1"/>
  <c r="AH7" i="1"/>
  <c r="AG7" i="1"/>
  <c r="AG9" i="1"/>
  <c r="AF7" i="1"/>
  <c r="AE7" i="1"/>
  <c r="AE8" i="1"/>
  <c r="AD7" i="1"/>
  <c r="AD8" i="1"/>
  <c r="AC7" i="1"/>
  <c r="AC8" i="1"/>
  <c r="AB7" i="1"/>
  <c r="AB8" i="1"/>
  <c r="AA7" i="1"/>
  <c r="AA8" i="1"/>
  <c r="AA9" i="1"/>
  <c r="Z7" i="1"/>
  <c r="Z9" i="1"/>
  <c r="Y7" i="1"/>
  <c r="Y9" i="1"/>
  <c r="W7" i="1"/>
  <c r="W9" i="1"/>
  <c r="V7" i="1"/>
  <c r="AC16" i="1"/>
  <c r="T4" i="1"/>
  <c r="T3" i="1"/>
  <c r="AD18" i="1"/>
  <c r="U18" i="1"/>
  <c r="AH9" i="1"/>
  <c r="AH8" i="1"/>
  <c r="Y8" i="1"/>
  <c r="AG8" i="1"/>
  <c r="AI9" i="1"/>
  <c r="AF8" i="1"/>
  <c r="AI8" i="1"/>
  <c r="AD9" i="1"/>
  <c r="V8" i="1"/>
  <c r="W8" i="1"/>
  <c r="W10" i="1" s="1"/>
  <c r="AE9" i="1"/>
  <c r="V9" i="1"/>
  <c r="AF9" i="1"/>
  <c r="Z8" i="1"/>
  <c r="Z10" i="1" s="1"/>
  <c r="AB9" i="1"/>
  <c r="AB10" i="1" s="1"/>
  <c r="U9" i="1"/>
  <c r="AC9" i="1"/>
  <c r="AG10" i="1"/>
  <c r="U4" i="1" l="1"/>
  <c r="AD16" i="1"/>
  <c r="AF16" i="1"/>
  <c r="AE16" i="1"/>
  <c r="W16" i="1"/>
  <c r="Y16" i="1"/>
  <c r="U16" i="1"/>
  <c r="AH16" i="1"/>
  <c r="AI16" i="1"/>
  <c r="V16" i="1"/>
  <c r="X16" i="1"/>
  <c r="AG16" i="1"/>
  <c r="Z16" i="1"/>
  <c r="U5" i="1"/>
  <c r="U13" i="1"/>
  <c r="Z13" i="1"/>
  <c r="W13" i="1"/>
  <c r="V13" i="1"/>
  <c r="AG13" i="1"/>
  <c r="V14" i="1"/>
  <c r="X14" i="1"/>
  <c r="AH14" i="1"/>
  <c r="AF14" i="1"/>
  <c r="AI13" i="1"/>
  <c r="Y14" i="1"/>
  <c r="X13" i="1"/>
  <c r="Y13" i="1"/>
  <c r="AG14" i="1"/>
  <c r="AE14" i="1"/>
  <c r="AI14" i="1"/>
  <c r="Z14" i="1"/>
  <c r="AD13" i="1"/>
  <c r="AF13" i="1"/>
  <c r="AE13" i="1"/>
  <c r="W14" i="1"/>
  <c r="AD14" i="1"/>
  <c r="AH13" i="1"/>
  <c r="U14" i="1"/>
  <c r="AD10" i="1"/>
  <c r="AI10" i="1"/>
  <c r="V10" i="1"/>
  <c r="AC10" i="1"/>
  <c r="AF10" i="1"/>
  <c r="AJ9" i="1"/>
  <c r="AJ8" i="1"/>
  <c r="Y10" i="1"/>
  <c r="AA10" i="1"/>
  <c r="AE10" i="1"/>
  <c r="AH10" i="1"/>
  <c r="X10" i="1"/>
  <c r="U10" i="1"/>
</calcChain>
</file>

<file path=xl/sharedStrings.xml><?xml version="1.0" encoding="utf-8"?>
<sst xmlns="http://schemas.openxmlformats.org/spreadsheetml/2006/main" count="195" uniqueCount="68">
  <si>
    <t>Player</t>
  </si>
  <si>
    <t>Godehard Rau</t>
  </si>
  <si>
    <t>Highlight Player</t>
  </si>
  <si>
    <t>Serban Vasile</t>
  </si>
  <si>
    <t>Sched Total</t>
  </si>
  <si>
    <t>TOTAL</t>
  </si>
  <si>
    <t>Paired With</t>
  </si>
  <si>
    <t>Play Against</t>
  </si>
  <si>
    <t>Play Same Court</t>
  </si>
  <si>
    <t>Court 3 Week</t>
  </si>
  <si>
    <t>Court 3 Match Date</t>
  </si>
  <si>
    <t>Court 3 Player 1</t>
  </si>
  <si>
    <t>Court 3 Player 2</t>
  </si>
  <si>
    <t>Court 3 Lev Avg Dev</t>
  </si>
  <si>
    <t>Court 3 Player 3</t>
  </si>
  <si>
    <t>Court 3 Player 4</t>
  </si>
  <si>
    <t>Gap1</t>
  </si>
  <si>
    <t>Gap2</t>
  </si>
  <si>
    <t>Court 4 Week</t>
  </si>
  <si>
    <t>Court 4 Match Date</t>
  </si>
  <si>
    <t>Court 4 Player 1</t>
  </si>
  <si>
    <t>Court 4 Player 2</t>
  </si>
  <si>
    <t>Court 4 Lev Avg Dev</t>
  </si>
  <si>
    <t>Court 4 Player 3</t>
  </si>
  <si>
    <t>Court 4 Player 4</t>
  </si>
  <si>
    <t>This week:</t>
  </si>
  <si>
    <t>Next week:</t>
  </si>
  <si>
    <t>Week of date:</t>
  </si>
  <si>
    <t>Court 3</t>
  </si>
  <si>
    <t>Court 4</t>
  </si>
  <si>
    <t>#</t>
  </si>
  <si>
    <t>NAME</t>
  </si>
  <si>
    <t>Share</t>
  </si>
  <si>
    <t>Cell</t>
  </si>
  <si>
    <t>Level</t>
  </si>
  <si>
    <t>Week</t>
  </si>
  <si>
    <t>Bill Tauriello</t>
  </si>
  <si>
    <t>TQ</t>
  </si>
  <si>
    <t>Bill Taylor</t>
  </si>
  <si>
    <t>Bob Alexander</t>
  </si>
  <si>
    <t>Claus Nussgruber</t>
  </si>
  <si>
    <t>F</t>
  </si>
  <si>
    <t>Doug King</t>
  </si>
  <si>
    <t>Norm Goldberg</t>
  </si>
  <si>
    <t>Pierce Butler</t>
  </si>
  <si>
    <t>Goran Mecevic</t>
  </si>
  <si>
    <t>George Walchuk</t>
  </si>
  <si>
    <t>OT</t>
  </si>
  <si>
    <t>Klaus Tum</t>
  </si>
  <si>
    <t>H</t>
  </si>
  <si>
    <t>XGIV</t>
  </si>
  <si>
    <t>Sudhakar Rao</t>
  </si>
  <si>
    <t>Tom Powers</t>
  </si>
  <si>
    <t>Adrian Turcu</t>
  </si>
  <si>
    <t>Matt Farber</t>
  </si>
  <si>
    <t>R</t>
  </si>
  <si>
    <t>XMAS</t>
  </si>
  <si>
    <t>Bill Smallwood</t>
  </si>
  <si>
    <t>NYR</t>
  </si>
  <si>
    <t>Mark Donnelly</t>
  </si>
  <si>
    <t>Don Rowe</t>
  </si>
  <si>
    <t>Thanksgiving</t>
  </si>
  <si>
    <t>Christmas</t>
  </si>
  <si>
    <t>New Year</t>
  </si>
  <si>
    <t>VS</t>
  </si>
  <si>
    <t>Versus</t>
  </si>
  <si>
    <t>Gender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</si>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</sst>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,\ mm/dd/yyyy"/>
    <numFmt numFmtId="165" formatCode="[&lt;=9999999]###\-####;\(###\)\ ###\-####"/>
  </numFmts>
  <fonts count="24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color theme="0"/>
      <name val="Calibri"/>
      <family val="2"/>
    </font>
    <font>
      <sz val="8"/>
      <name val="Calibri"/>
    </font>
    <font>
      <sz val="8"/>
      <name val="Calibri Light"/>
      <family val="2"/>
    </font>
    <font>
      <sz val="8"/>
      <color theme="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5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right"/>
    </xf>
    <xf numFmtId="0" fontId="18" fillId="24" borderId="10" xfId="0" applyFont="1" applyFill="1" applyBorder="1" applyAlignment="1">
      <alignment horizontal="center"/>
    </xf>
    <xf numFmtId="16" fontId="18" fillId="25" borderId="10" xfId="0" applyNumberFormat="1" applyFont="1" applyFill="1" applyBorder="1" applyAlignment="1">
      <alignment horizontal="center"/>
    </xf>
    <xf numFmtId="0" fontId="19" fillId="0" borderId="0" xfId="0" applyFont="1" applyAlignment="1">
      <alignment horizontal="right"/>
    </xf>
    <xf numFmtId="0" fontId="19" fillId="25" borderId="0" xfId="0" applyFont="1" applyFill="1" applyAlignment="1">
      <alignment horizontal="right"/>
    </xf>
    <xf numFmtId="0" fontId="19" fillId="24" borderId="0" xfId="0" applyFont="1" applyFill="1" applyAlignment="1">
      <alignment horizontal="right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8" fillId="25" borderId="10" xfId="0" applyNumberFormat="1" applyFont="1" applyFill="1" applyBorder="1" applyAlignment="1">
      <alignment horizontal="right"/>
    </xf>
    <xf numFmtId="164" fontId="18" fillId="25" borderId="10" xfId="0" applyNumberFormat="1" applyFont="1" applyFill="1" applyBorder="1" applyAlignment="1">
      <alignment horizontal="right"/>
    </xf>
    <xf numFmtId="14" fontId="18" fillId="24" borderId="10" xfId="0" applyNumberFormat="1" applyFont="1" applyFill="1" applyBorder="1" applyAlignment="1">
      <alignment horizontal="right"/>
    </xf>
    <xf numFmtId="16" fontId="18" fillId="24" borderId="10" xfId="0" applyNumberFormat="1" applyFont="1" applyFill="1" applyBorder="1" applyAlignment="1">
      <alignment horizontal="center"/>
    </xf>
    <xf numFmtId="0" fontId="19" fillId="26" borderId="10" xfId="0" applyFont="1" applyFill="1" applyBorder="1" applyAlignment="1">
      <alignment horizontal="center"/>
    </xf>
    <xf numFmtId="0" fontId="18" fillId="25" borderId="10" xfId="0" applyFont="1" applyFill="1" applyBorder="1" applyAlignment="1">
      <alignment horizontal="center"/>
    </xf>
    <xf numFmtId="0" fontId="18" fillId="26" borderId="10" xfId="0" applyFont="1" applyFill="1" applyBorder="1" applyAlignment="1">
      <alignment horizontal="center"/>
    </xf>
    <xf numFmtId="0" fontId="18" fillId="25" borderId="0" xfId="0" applyFont="1" applyFill="1" applyAlignment="1">
      <alignment horizontal="center"/>
    </xf>
    <xf numFmtId="0" fontId="18" fillId="24" borderId="0" xfId="0" applyFont="1" applyFill="1" applyAlignment="1">
      <alignment horizontal="center"/>
    </xf>
    <xf numFmtId="164" fontId="18" fillId="24" borderId="10" xfId="0" applyNumberFormat="1" applyFont="1" applyFill="1" applyBorder="1" applyAlignment="1">
      <alignment horizontal="center"/>
    </xf>
    <xf numFmtId="164" fontId="18" fillId="25" borderId="10" xfId="0" applyNumberFormat="1" applyFont="1" applyFill="1" applyBorder="1" applyAlignment="1">
      <alignment horizontal="center"/>
    </xf>
    <xf numFmtId="16" fontId="18" fillId="24" borderId="11" xfId="0" applyNumberFormat="1" applyFont="1" applyFill="1" applyBorder="1" applyAlignment="1">
      <alignment horizontal="center"/>
    </xf>
    <xf numFmtId="0" fontId="19" fillId="25" borderId="11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10" xfId="0" applyFont="1" applyBorder="1" applyAlignment="1">
      <alignment horizontal="center"/>
    </xf>
    <xf numFmtId="165" fontId="18" fillId="0" borderId="0" xfId="0" applyNumberFormat="1" applyFont="1"/>
    <xf numFmtId="165" fontId="18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16" fontId="19" fillId="24" borderId="10" xfId="0" applyNumberFormat="1" applyFont="1" applyFill="1" applyBorder="1" applyAlignment="1">
      <alignment horizontal="center"/>
    </xf>
    <xf numFmtId="0" fontId="23" fillId="0" borderId="0" xfId="0" applyFont="1"/>
    <xf numFmtId="0" fontId="20" fillId="0" borderId="0" xfId="0" applyFont="1" applyAlignment="1">
      <alignment horizontal="right"/>
    </xf>
    <xf numFmtId="16" fontId="19" fillId="25" borderId="10" xfId="0" applyNumberFormat="1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/>
    <xf numFmtId="164" fontId="19" fillId="0" borderId="10" xfId="0" applyNumberFormat="1" applyFont="1" applyBorder="1" applyAlignment="1">
      <alignment horizontal="center"/>
    </xf>
    <xf numFmtId="0" fontId="19" fillId="25" borderId="10" xfId="0" applyFont="1" applyFill="1" applyBorder="1" applyAlignment="1">
      <alignment horizontal="center"/>
    </xf>
    <xf numFmtId="0" fontId="19" fillId="24" borderId="11" xfId="0" applyFont="1" applyFill="1" applyBorder="1" applyAlignment="1">
      <alignment horizontal="center"/>
    </xf>
    <xf numFmtId="0" fontId="19" fillId="25" borderId="10" xfId="0" applyFont="1" applyFill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24" borderId="11" xfId="0" applyFont="1" applyFill="1" applyBorder="1" applyAlignment="1">
      <alignment horizontal="center"/>
    </xf>
    <xf numFmtId="0" fontId="19" fillId="24" borderId="12" xfId="0" applyFont="1" applyFill="1" applyBorder="1" applyAlignment="1">
      <alignment horizontal="center"/>
    </xf>
    <xf numFmtId="0" fontId="19" fillId="24" borderId="13" xfId="0" applyFon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6600FF"/>
      </font>
      <fill>
        <patternFill>
          <bgColor rgb="FFCCCCFF"/>
        </patternFill>
      </fill>
    </dxf>
    <dxf>
      <font>
        <color rgb="FF6600FF"/>
      </font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6600FF"/>
      </font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6600FF"/>
      </font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6600FF"/>
      </font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6600FF"/>
      </font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6600FF"/>
      </font>
      <fill>
        <patternFill>
          <bgColor rgb="FFCCCCFF"/>
        </patternFill>
      </fill>
    </dxf>
    <dxf>
      <font>
        <color rgb="FF6600FF"/>
      </font>
      <fill>
        <patternFill>
          <bgColor rgb="FFCCCCFF"/>
        </patternFill>
      </fill>
    </dxf>
    <dxf>
      <font>
        <color rgb="FF6600FF"/>
      </font>
      <fill>
        <patternFill>
          <bgColor rgb="FFCC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numFmt numFmtId="21" formatCode="d\-mmm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numFmt numFmtId="21" formatCode="d\-mmm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numFmt numFmtId="21" formatCode="d\-mmm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numFmt numFmtId="21" formatCode="d\-mmm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numFmt numFmtId="164" formatCode="ddd\,\ mm/dd/yyyy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numFmt numFmtId="21" formatCode="d\-m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numFmt numFmtId="21" formatCode="d\-m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numFmt numFmtId="21" formatCode="d\-m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numFmt numFmtId="21" formatCode="d\-m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numFmt numFmtId="164" formatCode="ddd\,\ mm/dd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right" vertical="bottom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CCCC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N18:N37" totalsRowShown="0" headerRowDxfId="115" dataDxfId="114">
  <autoFilter ref="N18:N37" xr:uid="{00000000-0009-0000-0100-000002000000}"/>
  <sortState xmlns:xlrd2="http://schemas.microsoft.com/office/spreadsheetml/2017/richdata2" ref="N19:N33">
    <sortCondition ref="N18:N33"/>
  </sortState>
  <tableColumns count="1">
    <tableColumn id="1" xr3:uid="{00000000-0010-0000-0000-000001000000}" name="NAME" dataDxfId="1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T12:AI14" totalsRowShown="0" headerRowDxfId="112" dataDxfId="111" tableBorderDxfId="110">
  <tableColumns count="16">
    <tableColumn id="1" xr3:uid="{00000000-0010-0000-0100-000001000000}" name="Court 3 Week" dataDxfId="109"/>
    <tableColumn id="2" xr3:uid="{00000000-0010-0000-0100-000002000000}" name="Court 3 Match Date" dataDxfId="108">
      <calculatedColumnFormula>VLOOKUP(WEEKNUM(TODAY())+1,$T$19:$AI$58,2,FALSE)</calculatedColumnFormula>
    </tableColumn>
    <tableColumn id="3" xr3:uid="{00000000-0010-0000-0100-000003000000}" name="Court 3 Player 1" dataDxfId="107">
      <calculatedColumnFormula>VLOOKUP(WEEKNUM(TODAY()),$T$19:$AI$59,3,FALSE)</calculatedColumnFormula>
    </tableColumn>
    <tableColumn id="4" xr3:uid="{00000000-0010-0000-0100-000004000000}" name="Court 3 Player 2" dataDxfId="106"/>
    <tableColumn id="5" xr3:uid="{00000000-0010-0000-0100-000005000000}" name="Court 3 Lev Avg Dev" dataDxfId="105"/>
    <tableColumn id="6" xr3:uid="{00000000-0010-0000-0100-000006000000}" name="Court 3 Player 3" dataDxfId="104"/>
    <tableColumn id="7" xr3:uid="{00000000-0010-0000-0100-000007000000}" name="Court 3 Player 4" dataDxfId="103"/>
    <tableColumn id="8" xr3:uid="{00000000-0010-0000-0100-000008000000}" name="Gap1" dataDxfId="102"/>
    <tableColumn id="9" xr3:uid="{00000000-0010-0000-0100-000009000000}" name="Gap2"/>
    <tableColumn id="10" xr3:uid="{00000000-0010-0000-0100-00000A000000}" name="Court 4 Week" dataDxfId="101"/>
    <tableColumn id="11" xr3:uid="{00000000-0010-0000-0100-00000B000000}" name="Court 4 Match Date" dataDxfId="100">
      <calculatedColumnFormula>VLOOKUP(WEEKNUM(TODAY())+1,$T$19:$AI$58,11,FALSE)</calculatedColumnFormula>
    </tableColumn>
    <tableColumn id="12" xr3:uid="{00000000-0010-0000-0100-00000C000000}" name="Court 4 Player 1" dataDxfId="99">
      <calculatedColumnFormula>VLOOKUP(WEEKNUM(TODAY())+1,$T$19:$AI$58,12,FALSE)</calculatedColumnFormula>
    </tableColumn>
    <tableColumn id="13" xr3:uid="{00000000-0010-0000-0100-00000D000000}" name="Court 4 Player 2" dataDxfId="98">
      <calculatedColumnFormula>VLOOKUP(WEEKNUM(TODAY())+1,$T$19:$AI$58,13,FALSE)</calculatedColumnFormula>
    </tableColumn>
    <tableColumn id="14" xr3:uid="{00000000-0010-0000-0100-00000E000000}" name="Court 4 Lev Avg Dev" dataDxfId="97">
      <calculatedColumnFormula>VLOOKUP(WEEKNUM(TODAY())+1,$T$19:$AI$58,14,FALSE)</calculatedColumnFormula>
    </tableColumn>
    <tableColumn id="15" xr3:uid="{00000000-0010-0000-0100-00000F000000}" name="Court 4 Player 3" dataDxfId="96">
      <calculatedColumnFormula>VLOOKUP(WEEKNUM(TODAY())+1,$T$19:$AI$58,15,FALSE)</calculatedColumnFormula>
    </tableColumn>
    <tableColumn id="16" xr3:uid="{00000000-0010-0000-0100-000010000000}" name="Court 4 Player 4" dataDxfId="95">
      <calculatedColumnFormula>VLOOKUP(WEEKNUM(TODAY())+1,$T$19:$AI$58,16,FALSE)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EAC13-27DC-4364-93F5-EF5E77F0FE7E}" name="Table22" displayName="Table22" ref="E4:E23" totalsRowShown="0" headerRowDxfId="94" dataDxfId="93">
  <autoFilter ref="E4:E23" xr:uid="{D4CEAC13-27DC-4364-93F5-EF5E77F0FE7E}"/>
  <sortState xmlns:xlrd2="http://schemas.microsoft.com/office/spreadsheetml/2017/richdata2" ref="E5:E19">
    <sortCondition ref="E18:E33"/>
  </sortState>
  <tableColumns count="1">
    <tableColumn id="1" xr3:uid="{337FB5BB-A8B5-4A9E-BD6A-CC64B3BE0B84}" name="NAME" dataDxfId="9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J59"/>
  <sheetViews>
    <sheetView showGridLines="0" zoomScaleNormal="100" workbookViewId="0">
      <selection activeCell="M18" sqref="M18:R37"/>
    </sheetView>
  </sheetViews>
  <sheetFormatPr defaultColWidth="9.140625" defaultRowHeight="12.75" x14ac:dyDescent="0.2"/>
  <cols>
    <col min="1" max="1" width="12.42578125" style="2" customWidth="1"/>
    <col min="2" max="9" width="4.85546875" style="2" customWidth="1"/>
    <col min="10" max="11" width="13" style="2" customWidth="1"/>
    <col min="12" max="12" width="5.140625" style="2" customWidth="1"/>
    <col min="13" max="13" width="4.85546875" style="2" customWidth="1"/>
    <col min="14" max="14" width="13" style="2" customWidth="1"/>
    <col min="15" max="15" width="5" style="2" customWidth="1"/>
    <col min="16" max="16" width="11.28515625" style="26" customWidth="1"/>
    <col min="17" max="17" width="4.7109375" style="27" customWidth="1"/>
    <col min="18" max="18" width="6" style="2" bestFit="1" customWidth="1"/>
    <col min="19" max="19" width="4.28515625" style="2" customWidth="1"/>
    <col min="20" max="20" width="15" style="2" bestFit="1" customWidth="1"/>
    <col min="21" max="21" width="13.85546875" style="3" customWidth="1"/>
    <col min="22" max="23" width="13.85546875" style="1" customWidth="1"/>
    <col min="24" max="24" width="13" style="1" bestFit="1" customWidth="1"/>
    <col min="25" max="26" width="13.85546875" style="1" customWidth="1"/>
    <col min="27" max="27" width="10.140625" style="2" customWidth="1"/>
    <col min="28" max="28" width="11.28515625" customWidth="1"/>
    <col min="29" max="29" width="13.85546875" customWidth="1"/>
    <col min="30" max="30" width="13.85546875" style="3" customWidth="1"/>
    <col min="31" max="32" width="13.85546875" style="2" customWidth="1"/>
    <col min="33" max="33" width="13" style="2" bestFit="1" customWidth="1"/>
    <col min="34" max="35" width="13.85546875" style="2" customWidth="1"/>
    <col min="36" max="36" width="4.7109375" style="2" bestFit="1" customWidth="1"/>
    <col min="37" max="37" width="8.85546875" style="2" bestFit="1" customWidth="1"/>
    <col min="38" max="38" width="8" style="2" bestFit="1" customWidth="1"/>
    <col min="39" max="16384" width="9.140625" style="2"/>
  </cols>
  <sheetData>
    <row r="2" spans="20:36" x14ac:dyDescent="0.2">
      <c r="T2" s="6" t="s">
        <v>0</v>
      </c>
      <c r="U2" s="1" t="s">
        <v>39</v>
      </c>
      <c r="W2" s="9" t="s">
        <v>2</v>
      </c>
      <c r="X2" s="1" t="s">
        <v>40</v>
      </c>
    </row>
    <row r="3" spans="20:36" x14ac:dyDescent="0.2">
      <c r="T3" s="7" t="str">
        <f>"Times sched on " &amp; B18</f>
        <v>Times sched on Court 3</v>
      </c>
      <c r="U3" s="18">
        <f>COUNTIF(U18:Z58,U2&amp;"*")</f>
        <v>12</v>
      </c>
    </row>
    <row r="4" spans="20:36" x14ac:dyDescent="0.2">
      <c r="T4" s="8" t="str">
        <f>"Times sched on " &amp; F18</f>
        <v>Times sched on Court 4</v>
      </c>
      <c r="U4" s="19">
        <f>COUNTIF(AD19:AI58,U2 &amp; "*")</f>
        <v>7</v>
      </c>
    </row>
    <row r="5" spans="20:36" ht="11.25" x14ac:dyDescent="0.2">
      <c r="T5" s="6" t="s">
        <v>4</v>
      </c>
      <c r="U5" s="1">
        <f>SUM(U3:U4)</f>
        <v>19</v>
      </c>
      <c r="AB5" s="2"/>
      <c r="AC5" s="2"/>
      <c r="AD5" s="2"/>
    </row>
    <row r="6" spans="20:36" x14ac:dyDescent="0.2">
      <c r="U6" s="9"/>
      <c r="W6" s="10"/>
      <c r="X6" s="10"/>
      <c r="AB6" s="2"/>
      <c r="AC6" s="2"/>
      <c r="AD6" s="2"/>
    </row>
    <row r="7" spans="20:36" ht="11.25" x14ac:dyDescent="0.2">
      <c r="T7" s="1"/>
      <c r="U7" s="15" t="str">
        <f>N19</f>
        <v>Bill Tauriello</v>
      </c>
      <c r="V7" s="15" t="str">
        <f>N20</f>
        <v>Bill Taylor</v>
      </c>
      <c r="W7" s="15" t="str">
        <f>N21</f>
        <v>Bob Alexander</v>
      </c>
      <c r="X7" s="15" t="str">
        <f>N22</f>
        <v>Claus Nussgruber</v>
      </c>
      <c r="Y7" s="15" t="str">
        <f>N23</f>
        <v>Doug King</v>
      </c>
      <c r="Z7" s="15" t="str">
        <f>N24</f>
        <v>Godehard Rau</v>
      </c>
      <c r="AA7" s="15" t="str">
        <f>N25</f>
        <v>Norm Goldberg</v>
      </c>
      <c r="AB7" s="15" t="str">
        <f>N26</f>
        <v>Pierce Butler</v>
      </c>
      <c r="AC7" s="15" t="str">
        <f>N27</f>
        <v>Serban Vasile</v>
      </c>
      <c r="AD7" s="15" t="str">
        <f>N28</f>
        <v>Goran Mecevic</v>
      </c>
      <c r="AE7" s="15" t="str">
        <f>N29</f>
        <v>George Walchuk</v>
      </c>
      <c r="AF7" s="15" t="str">
        <f>N30</f>
        <v>Klaus Tum</v>
      </c>
      <c r="AG7" s="15" t="str">
        <f>N31</f>
        <v>Sudhakar Rao</v>
      </c>
      <c r="AH7" s="15" t="str">
        <f>N32</f>
        <v>Tom Powers</v>
      </c>
      <c r="AI7" s="15" t="str">
        <f>N33</f>
        <v>Adrian Turcu</v>
      </c>
      <c r="AJ7" s="15" t="s">
        <v>5</v>
      </c>
    </row>
    <row r="8" spans="20:36" ht="11.25" x14ac:dyDescent="0.2">
      <c r="T8" s="15" t="s">
        <v>6</v>
      </c>
      <c r="U8" s="17">
        <f t="shared" ref="U8:AH8" si="0">COUNTIFS($V$19:$V$58,Player&amp;"*",$W$19:$W$58,U7 &amp;"*") + COUNTIFS($V$19:$V$58,U7&amp;"*",$W$19:$W$58,Player&amp;"*") + COUNTIFS($Y$19:$Y$58,Player&amp;"*",$Z$19:$Z$58,U7 &amp;"*") + COUNTIFS($Y$19:$Y$58,U7&amp;"*",$Z$19:$Z$58,Player&amp;"*")+ COUNTIFS($AE$19:$AE$58,Player&amp;"*",$AF$19:$AF$58,U7 &amp;"*") + COUNTIFS($AE$19:$AE$58,U7&amp;"*",$AF$19:$AF$58,Player&amp;"*") + COUNTIFS($AH$19:$AH$58,Player&amp;"*",$AI$19:$AI$58,U7 &amp;"*") + COUNTIFS($AH$19:$AH$58,U7&amp;"*",$AI$19:$AI$58,Player&amp;"*")</f>
        <v>4</v>
      </c>
      <c r="V8" s="17">
        <f t="shared" si="0"/>
        <v>3</v>
      </c>
      <c r="W8" s="17">
        <f t="shared" si="0"/>
        <v>0</v>
      </c>
      <c r="X8" s="17">
        <f t="shared" si="0"/>
        <v>4</v>
      </c>
      <c r="Y8" s="17">
        <f t="shared" si="0"/>
        <v>3</v>
      </c>
      <c r="Z8" s="17">
        <f t="shared" si="0"/>
        <v>1</v>
      </c>
      <c r="AA8" s="17">
        <f t="shared" si="0"/>
        <v>0</v>
      </c>
      <c r="AB8" s="17">
        <f t="shared" si="0"/>
        <v>1</v>
      </c>
      <c r="AC8" s="17">
        <f t="shared" si="0"/>
        <v>0</v>
      </c>
      <c r="AD8" s="17">
        <f t="shared" si="0"/>
        <v>1</v>
      </c>
      <c r="AE8" s="17">
        <f t="shared" si="0"/>
        <v>0</v>
      </c>
      <c r="AF8" s="17">
        <f t="shared" si="0"/>
        <v>0</v>
      </c>
      <c r="AG8" s="17">
        <f t="shared" si="0"/>
        <v>2</v>
      </c>
      <c r="AH8" s="17">
        <f t="shared" si="0"/>
        <v>0</v>
      </c>
      <c r="AI8" s="17">
        <f t="shared" ref="AI8" si="1">COUNTIFS($V$19:$V$58,Player&amp;"*",$W$19:$W$58,AI7 &amp;"*") + COUNTIFS($V$19:$V$58,AI7&amp;"*",$W$19:$W$58,Player&amp;"*") + COUNTIFS($Y$19:$Y$58,Player&amp;"*",$Z$19:$Z$58,AI7 &amp;"*") + COUNTIFS($Y$19:$Y$58,AI7&amp;"*",$Z$19:$Z$58,Player&amp;"*")+ COUNTIFS($AE$19:$AE$58,Player&amp;"*",$AF$19:$AF$58,AI7 &amp;"*") + COUNTIFS($AE$19:$AE$58,AI7&amp;"*",$AF$19:$AF$58,Player&amp;"*") + COUNTIFS($AH$19:$AH$58,Player&amp;"*",$AI$19:$AI$58,AI7 &amp;"*") + COUNTIFS($AH$19:$AH$58,AI7&amp;"*",$AI$19:$AI$58,Player&amp;"*")</f>
        <v>0</v>
      </c>
      <c r="AJ8" s="17">
        <f>SUM(U8:AH8)</f>
        <v>19</v>
      </c>
    </row>
    <row r="9" spans="20:36" ht="11.25" x14ac:dyDescent="0.2">
      <c r="T9" s="15" t="s">
        <v>7</v>
      </c>
      <c r="U9" s="17">
        <f t="shared" ref="U9:AH9" si="2">COUNTIFS($V$19:$V$58,Player&amp;"*", $Y$19:$Y$58,U7 &amp;"*") + COUNTIFS($V$19:$V$58,Player&amp;"*",$Z$19:$Z$58,U7 &amp;"*") +COUNTIFS($W$19:$W$58,Player&amp;"*", $Y$19:$Y$58,U7 &amp;"*") + COUNTIFS($W$19:$W$58,Player&amp;"*",$Z$19:$Z$58,U7 &amp;"*")+COUNTIFS($V$19:$V$58,U7&amp;"*", $Y$19:$Y$58,Player &amp;"*") + COUNTIFS($V$19:$V$58,U7&amp;"*",$Z$19:$Z$58,Player &amp;"*") +COUNTIFS($W$19:$W$58,U7&amp;"*", $Y$19:$Y$58,Player &amp;"*") + COUNTIFS($W$19:$W$58,U7&amp;"*",$Z$19:$Z$58,Player &amp;"*") + COUNTIFS($AE$19:$AE$58,Player&amp;"*", $AH$19:$AH$58,U7 &amp;"*") + COUNTIFS($AE$19:$AE$58,Player&amp;"*",$AI$19:$AI$58,U7 &amp;"*") +COUNTIFS($AF$19:$AF$58,Player&amp;"*", $AH$19:$AH$58,U7 &amp;"*") + COUNTIFS($AF$19:$AF$58,Player&amp;"*",$AI$19:$AI$58,U7 &amp;"*")+COUNTIFS($AE$19:$AE$58,U7&amp;"*", $AH$19:$AH$58,Player &amp;"*") + COUNTIFS($AE$19:$AE$58,U7&amp;"*",$AI$19:$AI$58,Player &amp;"*") +COUNTIFS($AF$19:$AF$58,U7&amp;"*", $AH$19:$AH$58,Player &amp;"*") + COUNTIFS($AF$19:$AF$58,U7&amp;"*",$AI$19:$AI$58,Player &amp;"*")</f>
        <v>3</v>
      </c>
      <c r="V9" s="17">
        <f t="shared" si="2"/>
        <v>4</v>
      </c>
      <c r="W9" s="17">
        <f t="shared" si="2"/>
        <v>0</v>
      </c>
      <c r="X9" s="17">
        <f t="shared" si="2"/>
        <v>2</v>
      </c>
      <c r="Y9" s="17">
        <f t="shared" si="2"/>
        <v>5</v>
      </c>
      <c r="Z9" s="17">
        <f t="shared" si="2"/>
        <v>2</v>
      </c>
      <c r="AA9" s="17">
        <f t="shared" si="2"/>
        <v>4</v>
      </c>
      <c r="AB9" s="17">
        <f t="shared" si="2"/>
        <v>4</v>
      </c>
      <c r="AC9" s="17">
        <f t="shared" si="2"/>
        <v>3</v>
      </c>
      <c r="AD9" s="17">
        <f t="shared" si="2"/>
        <v>0</v>
      </c>
      <c r="AE9" s="17">
        <f t="shared" si="2"/>
        <v>1</v>
      </c>
      <c r="AF9" s="17">
        <f t="shared" si="2"/>
        <v>4</v>
      </c>
      <c r="AG9" s="17">
        <f t="shared" si="2"/>
        <v>3</v>
      </c>
      <c r="AH9" s="17">
        <f t="shared" si="2"/>
        <v>2</v>
      </c>
      <c r="AI9" s="17">
        <f t="shared" ref="AI9" si="3">COUNTIFS($V$19:$V$58,Player&amp;"*", $Y$19:$Y$58,AI7 &amp;"*") + COUNTIFS($V$19:$V$58,Player&amp;"*",$Z$19:$Z$58,AI7 &amp;"*") +COUNTIFS($W$19:$W$58,Player&amp;"*", $Y$19:$Y$58,AI7 &amp;"*") + COUNTIFS($W$19:$W$58,Player&amp;"*",$Z$19:$Z$58,AI7 &amp;"*")+COUNTIFS($V$19:$V$58,AI7&amp;"*", $Y$19:$Y$58,Player &amp;"*") + COUNTIFS($V$19:$V$58,AI7&amp;"*",$Z$19:$Z$58,Player &amp;"*") +COUNTIFS($W$19:$W$58,AI7&amp;"*", $Y$19:$Y$58,Player &amp;"*") + COUNTIFS($W$19:$W$58,AI7&amp;"*",$Z$19:$Z$58,Player &amp;"*") + COUNTIFS($AE$19:$AE$58,Player&amp;"*", $AH$19:$AH$58,AI7 &amp;"*") + COUNTIFS($AE$19:$AE$58,Player&amp;"*",$AI$19:$AI$58,AI7 &amp;"*") +COUNTIFS($AF$19:$AF$58,Player&amp;"*", $AH$19:$AH$58,AI7 &amp;"*") + COUNTIFS($AF$19:$AF$58,Player&amp;"*",$AI$19:$AI$58,AI7 &amp;"*")+COUNTIFS($AE$19:$AE$58,AI7&amp;"*", $AH$19:$AH$58,Player &amp;"*") + COUNTIFS($AE$19:$AE$58,AI7&amp;"*",$AI$19:$AI$58,Player &amp;"*") +COUNTIFS($AF$19:$AF$58,AI7&amp;"*", $AH$19:$AH$58,Player &amp;"*") + COUNTIFS($AF$19:$AF$58,AI7&amp;"*",$AI$19:$AI$58,Player &amp;"*")</f>
        <v>1</v>
      </c>
      <c r="AJ9" s="17">
        <f>SUM(U9:AH9)</f>
        <v>37</v>
      </c>
    </row>
    <row r="10" spans="20:36" ht="11.25" x14ac:dyDescent="0.2">
      <c r="T10" s="15" t="s">
        <v>8</v>
      </c>
      <c r="U10" s="17">
        <f>SUM(U8:U9)</f>
        <v>7</v>
      </c>
      <c r="V10" s="17">
        <f t="shared" ref="V10:AH10" si="4">SUM(V8:V9)</f>
        <v>7</v>
      </c>
      <c r="W10" s="17">
        <f t="shared" si="4"/>
        <v>0</v>
      </c>
      <c r="X10" s="17">
        <f t="shared" si="4"/>
        <v>6</v>
      </c>
      <c r="Y10" s="17">
        <f t="shared" si="4"/>
        <v>8</v>
      </c>
      <c r="Z10" s="17">
        <f t="shared" si="4"/>
        <v>3</v>
      </c>
      <c r="AA10" s="17">
        <f t="shared" si="4"/>
        <v>4</v>
      </c>
      <c r="AB10" s="17">
        <f t="shared" si="4"/>
        <v>5</v>
      </c>
      <c r="AC10" s="17">
        <f t="shared" si="4"/>
        <v>3</v>
      </c>
      <c r="AD10" s="17">
        <f t="shared" si="4"/>
        <v>1</v>
      </c>
      <c r="AE10" s="17">
        <f t="shared" si="4"/>
        <v>1</v>
      </c>
      <c r="AF10" s="17">
        <f t="shared" si="4"/>
        <v>4</v>
      </c>
      <c r="AG10" s="17">
        <f t="shared" si="4"/>
        <v>5</v>
      </c>
      <c r="AH10" s="17">
        <f t="shared" si="4"/>
        <v>2</v>
      </c>
      <c r="AI10" s="17">
        <f t="shared" ref="AI10" si="5">SUM(AI8:AI9)</f>
        <v>1</v>
      </c>
      <c r="AJ10" s="17"/>
    </row>
    <row r="11" spans="20:36" x14ac:dyDescent="0.2">
      <c r="U11" s="2"/>
      <c r="Y11" s="10"/>
      <c r="Z11" s="10"/>
      <c r="AA11"/>
      <c r="AB11" s="3"/>
      <c r="AC11" s="2"/>
      <c r="AD11" s="2"/>
    </row>
    <row r="12" spans="20:36" ht="18" customHeight="1" x14ac:dyDescent="0.2">
      <c r="T12" s="31" t="s">
        <v>9</v>
      </c>
      <c r="U12" s="9" t="s">
        <v>10</v>
      </c>
      <c r="V12" s="23" t="s">
        <v>11</v>
      </c>
      <c r="W12" s="23" t="s">
        <v>12</v>
      </c>
      <c r="X12" s="32" t="s">
        <v>13</v>
      </c>
      <c r="Y12" s="23" t="s">
        <v>14</v>
      </c>
      <c r="Z12" s="36" t="s">
        <v>15</v>
      </c>
      <c r="AA12" s="30" t="s">
        <v>16</v>
      </c>
      <c r="AB12" s="30" t="s">
        <v>17</v>
      </c>
      <c r="AC12" s="31" t="s">
        <v>18</v>
      </c>
      <c r="AD12" s="9" t="s">
        <v>19</v>
      </c>
      <c r="AE12" s="37" t="s">
        <v>20</v>
      </c>
      <c r="AF12" s="37" t="s">
        <v>21</v>
      </c>
      <c r="AG12" s="29" t="s">
        <v>22</v>
      </c>
      <c r="AH12" s="37" t="s">
        <v>23</v>
      </c>
      <c r="AI12" s="37" t="s">
        <v>24</v>
      </c>
    </row>
    <row r="13" spans="20:36" x14ac:dyDescent="0.2">
      <c r="T13" s="6" t="s">
        <v>25</v>
      </c>
      <c r="U13" s="21">
        <f ca="1">VLOOKUP(WEEKNUM(TODAY()),$T$19:$AI$59,2,FALSE)</f>
        <v>46002</v>
      </c>
      <c r="V13" s="5" t="str">
        <f ca="1">VLOOKUP(WEEKNUM(TODAY()),$T$19:$AI$59,3,FALSE)</f>
        <v>Bob Alexander</v>
      </c>
      <c r="W13" s="5" t="str">
        <f ca="1">VLOOKUP(WEEKNUM(TODAY()),$T$19:$AI$59,4,FALSE)</f>
        <v>Claus Nussgruber</v>
      </c>
      <c r="X13" s="16">
        <f ca="1">VLOOKUP(WEEKNUM(TODAY()),$T$19:$AI$59,5,FALSE)</f>
        <v>0.375</v>
      </c>
      <c r="Y13" s="5" t="str">
        <f ca="1">VLOOKUP(WEEKNUM(TODAY()),$T$19:$AI$59,6,FALSE)</f>
        <v>Doug King</v>
      </c>
      <c r="Z13" s="5" t="str">
        <f ca="1">VLOOKUP(WEEKNUM(TODAY()),$T$19:$AI$59,7,FALSE)</f>
        <v>Norm Goldberg</v>
      </c>
      <c r="AC13" s="6" t="s">
        <v>25</v>
      </c>
      <c r="AD13" s="20">
        <f ca="1">VLOOKUP(WEEKNUM(TODAY()),$T$19:$AI$59,11,FALSE)</f>
        <v>46002</v>
      </c>
      <c r="AE13" s="14" t="str">
        <f ca="1">VLOOKUP(WEEKNUM(TODAY()),$T$19:$AI$59,12,FALSE)</f>
        <v>Pierce Butler</v>
      </c>
      <c r="AF13" s="14" t="str">
        <f ca="1">VLOOKUP(WEEKNUM(TODAY()),$T$19:$AI$59,13,FALSE)</f>
        <v>Serban Vasile</v>
      </c>
      <c r="AG13" s="4">
        <f ca="1">VLOOKUP(WEEKNUM(TODAY()),$T$19:$AI$59,14,FALSE)</f>
        <v>0.1875</v>
      </c>
      <c r="AH13" s="14" t="str">
        <f ca="1">VLOOKUP(WEEKNUM(TODAY()),$T$19:$AI$59,15,FALSE)</f>
        <v>Klaus Tum</v>
      </c>
      <c r="AI13" s="22" t="str">
        <f ca="1">VLOOKUP(WEEKNUM(TODAY()),$T$19:$AI$59,16,FALSE)</f>
        <v>Sudhakar Rao</v>
      </c>
    </row>
    <row r="14" spans="20:36" x14ac:dyDescent="0.2">
      <c r="T14" s="6" t="s">
        <v>26</v>
      </c>
      <c r="U14" s="21">
        <f ca="1">VLOOKUP(WEEKNUM(TODAY())+1,$T$19:$AI$59,2,FALSE)</f>
        <v>46009</v>
      </c>
      <c r="V14" s="5" t="str">
        <f ca="1">VLOOKUP(WEEKNUM(TODAY())+1,$T$19:$AI$59,3,FALSE)</f>
        <v>Bill Tauriello</v>
      </c>
      <c r="W14" s="5" t="str">
        <f ca="1">VLOOKUP(WEEKNUM(TODAY())+1,$T$19:$AI$59,4,FALSE)</f>
        <v>Bill Taylor</v>
      </c>
      <c r="X14" s="16">
        <f ca="1">VLOOKUP(WEEKNUM(TODAY())+1,$T$19:$AI$59,5,FALSE)</f>
        <v>0.375</v>
      </c>
      <c r="Y14" s="5" t="str">
        <f ca="1">VLOOKUP(WEEKNUM(TODAY())+1,$T$19:$AI$59,6,FALSE)</f>
        <v>Claus Nussgruber</v>
      </c>
      <c r="Z14" s="5" t="str">
        <f ca="1">VLOOKUP(WEEKNUM(TODAY())+1,$T$19:$AI$59,7,FALSE)</f>
        <v>Godehard Rau</v>
      </c>
      <c r="AC14" s="6" t="s">
        <v>26</v>
      </c>
      <c r="AD14" s="20">
        <f ca="1">VLOOKUP(WEEKNUM(TODAY())+1,$T$19:$AI$59,11,FALSE)</f>
        <v>46009</v>
      </c>
      <c r="AE14" s="14" t="str">
        <f ca="1">VLOOKUP(WEEKNUM(TODAY())+1,$T$19:$AI$59,12,FALSE)</f>
        <v>Pierce Butler</v>
      </c>
      <c r="AF14" s="14" t="str">
        <f ca="1">VLOOKUP(WEEKNUM(TODAY())+1,$T$19:$AI$59,13,FALSE)</f>
        <v>Serban Vasile</v>
      </c>
      <c r="AG14" s="4">
        <f ca="1">VLOOKUP(WEEKNUM(TODAY())+1,$T$19:$AI$59,14,FALSE)</f>
        <v>0.25</v>
      </c>
      <c r="AH14" s="14" t="str">
        <f ca="1">VLOOKUP(WEEKNUM(TODAY())+1,$T$19:$AI$59,15,FALSE)</f>
        <v>Goran Mecevic</v>
      </c>
      <c r="AI14" s="22" t="str">
        <f ca="1">VLOOKUP(WEEKNUM(TODAY())+1,$T$19:$AI$59,16,FALSE)</f>
        <v>Tom Powers</v>
      </c>
    </row>
    <row r="15" spans="20:36" x14ac:dyDescent="0.2">
      <c r="T15" s="6" t="s">
        <v>27</v>
      </c>
      <c r="U15" s="1"/>
      <c r="AC15" s="6" t="s">
        <v>27</v>
      </c>
      <c r="AD15" s="2"/>
    </row>
    <row r="16" spans="20:36" x14ac:dyDescent="0.2">
      <c r="T16" s="11">
        <v>44119</v>
      </c>
      <c r="U16" s="21">
        <f>VLOOKUP(WEEKNUM($T$16),$T$19:$AI$59,2,FALSE)</f>
        <v>45946</v>
      </c>
      <c r="V16" s="5" t="str">
        <f>VLOOKUP(WEEKNUM($T$16),$T$19:$AI$59,3,FALSE)</f>
        <v>Doug King</v>
      </c>
      <c r="W16" s="5" t="str">
        <f>VLOOKUP(WEEKNUM($T$16),$T$19:$AI$59,4,FALSE)</f>
        <v>Bill Tauriello</v>
      </c>
      <c r="X16" s="16">
        <f>VLOOKUP(WEEKNUM($T$16),$T$19:$AI$59,5,FALSE)</f>
        <v>0.4375</v>
      </c>
      <c r="Y16" s="5" t="str">
        <f>VLOOKUP(WEEKNUM($T$16),$T$19:$AI$59,6,FALSE)</f>
        <v>Goran Mecevic</v>
      </c>
      <c r="Z16" s="5" t="str">
        <f>VLOOKUP(WEEKNUM($T$16),$T$19:$AI$59,7,FALSE)</f>
        <v>Pierce Butler</v>
      </c>
      <c r="AC16" s="13">
        <f>T16</f>
        <v>44119</v>
      </c>
      <c r="AD16" s="20">
        <f>VLOOKUP(WEEKNUM($AC$16),$T$19:$AI$58,11,FALSE)</f>
        <v>45946</v>
      </c>
      <c r="AE16" s="14" t="str">
        <f>VLOOKUP(WEEKNUM($AC$16),$T$19:$AI$58,12,FALSE)</f>
        <v>Serban Vasile</v>
      </c>
      <c r="AF16" s="14" t="str">
        <f>VLOOKUP(WEEKNUM($AC$16),$T$19:$AI$58,13,FALSE)</f>
        <v>Tom Powers</v>
      </c>
      <c r="AG16" s="4">
        <f>VLOOKUP(WEEKNUM($AC$16),$T$19:$AI$58,14,FALSE)</f>
        <v>9.375E-2</v>
      </c>
      <c r="AH16" s="14" t="str">
        <f>VLOOKUP(WEEKNUM($AC$16),$T$19:$AI$58,15,FALSE)</f>
        <v>Claus Nussgruber</v>
      </c>
      <c r="AI16" s="14" t="str">
        <f>VLOOKUP(WEEKNUM($AC$16),$T$19:$AI$58,16,FALSE)</f>
        <v>Godehard Rau</v>
      </c>
    </row>
    <row r="17" spans="1:35" x14ac:dyDescent="0.2">
      <c r="AD17" s="1"/>
      <c r="AE17" s="1"/>
      <c r="AF17" s="1"/>
      <c r="AG17" s="1"/>
      <c r="AH17" s="1"/>
      <c r="AI17" s="1"/>
    </row>
    <row r="18" spans="1:35" ht="19.350000000000001" customHeight="1" x14ac:dyDescent="0.2">
      <c r="A18" s="1"/>
      <c r="B18" s="39" t="s">
        <v>28</v>
      </c>
      <c r="C18" s="40"/>
      <c r="D18" s="40"/>
      <c r="E18" s="41"/>
      <c r="F18" s="39" t="s">
        <v>29</v>
      </c>
      <c r="G18" s="40"/>
      <c r="H18" s="40"/>
      <c r="I18" s="41"/>
      <c r="J18" s="34" t="s">
        <v>13</v>
      </c>
      <c r="K18" s="34" t="s">
        <v>22</v>
      </c>
      <c r="M18" s="1" t="s">
        <v>30</v>
      </c>
      <c r="N18" s="1" t="s">
        <v>31</v>
      </c>
      <c r="O18" s="1" t="s">
        <v>32</v>
      </c>
      <c r="P18" s="27" t="s">
        <v>33</v>
      </c>
      <c r="Q18" s="1" t="s">
        <v>34</v>
      </c>
      <c r="R18" s="1" t="s">
        <v>66</v>
      </c>
      <c r="S18" s="1"/>
      <c r="T18" s="16" t="s">
        <v>35</v>
      </c>
      <c r="U18" s="38" t="str">
        <f>B18</f>
        <v>Court 3</v>
      </c>
      <c r="V18" s="38"/>
      <c r="W18" s="38"/>
      <c r="X18" s="38"/>
      <c r="Y18" s="38"/>
      <c r="Z18" s="38"/>
      <c r="AC18" s="4" t="s">
        <v>35</v>
      </c>
      <c r="AD18" s="42" t="str">
        <f>F18</f>
        <v>Court 4</v>
      </c>
      <c r="AE18" s="43"/>
      <c r="AF18" s="43"/>
      <c r="AG18" s="43"/>
      <c r="AH18" s="43"/>
      <c r="AI18" s="44"/>
    </row>
    <row r="19" spans="1:35" x14ac:dyDescent="0.2">
      <c r="A19" s="35">
        <v>45904</v>
      </c>
      <c r="B19" s="25">
        <v>14</v>
      </c>
      <c r="C19" s="25">
        <v>5</v>
      </c>
      <c r="D19" s="25">
        <v>1</v>
      </c>
      <c r="E19" s="25">
        <v>2</v>
      </c>
      <c r="F19" s="25">
        <v>6</v>
      </c>
      <c r="G19" s="25">
        <v>12</v>
      </c>
      <c r="H19" s="25">
        <v>8</v>
      </c>
      <c r="I19" s="25">
        <v>10</v>
      </c>
      <c r="J19" s="25">
        <f t="shared" ref="J19:J59" si="6">AVEDEV(VLOOKUP(B19,$M$19:$Q$37,5), VLOOKUP(C19,$M$19:$Q$37,5), VLOOKUP(D19,$M$19:$Q$37,5), VLOOKUP(E19,$M$19:$Q$37,5))</f>
        <v>0.3125</v>
      </c>
      <c r="K19" s="25">
        <f t="shared" ref="K19:K59" si="7">AVEDEV(VLOOKUP(F19,$M$19:$Q$37,5), VLOOKUP(G19,$M$19:$Q$37,5), VLOOKUP(H19,$M$19:$Q$37,5), VLOOKUP(I19,$M$19:$Q$37,5))</f>
        <v>0.21875</v>
      </c>
      <c r="M19" s="1">
        <v>1</v>
      </c>
      <c r="N19" s="1" t="s">
        <v>36</v>
      </c>
      <c r="O19" s="1" t="s">
        <v>37</v>
      </c>
      <c r="P19" s="27">
        <v>9083042902</v>
      </c>
      <c r="Q19" s="1">
        <v>3</v>
      </c>
      <c r="R19" s="1" t="s">
        <v>67</v>
      </c>
      <c r="S19" s="1"/>
      <c r="T19" s="16">
        <f>WEEKNUM(U19)</f>
        <v>36</v>
      </c>
      <c r="U19" s="12">
        <f t="shared" ref="U19:U59" si="8">A19</f>
        <v>45904</v>
      </c>
      <c r="V19" s="16" t="str">
        <f t="shared" ref="V19:V59" si="9">VLOOKUP(B19,$M$19:$N$41,2,FALSE) &amp; IF(ISERROR(SEARCH("~*",B19)),"","*")</f>
        <v>Tom Powers</v>
      </c>
      <c r="W19" s="16" t="str">
        <f t="shared" ref="W19:W59" si="10">VLOOKUP(C19,$M$19:$N$41,2,FALSE) &amp; IF(ISERROR(SEARCH("~*",C19)),"","*")</f>
        <v>Doug King</v>
      </c>
      <c r="X19" s="16">
        <f t="shared" ref="X19:X59" si="11">J19</f>
        <v>0.3125</v>
      </c>
      <c r="Y19" s="16" t="str">
        <f t="shared" ref="Y19:Y59" si="12">VLOOKUP(D19,$M$19:$N$41,2,FALSE) &amp; IF(ISERROR(SEARCH("~*",D19)),"","*")</f>
        <v>Bill Tauriello</v>
      </c>
      <c r="Z19" s="16" t="str">
        <f t="shared" ref="Z19:Z59" si="13">VLOOKUP(E19,$M$19:$N$41,2,FALSE) &amp; IF(ISERROR(SEARCH("~*",E19)),"","*")</f>
        <v>Bill Taylor</v>
      </c>
      <c r="AC19" s="4">
        <f>WEEKNUM(AD19)</f>
        <v>36</v>
      </c>
      <c r="AD19" s="20">
        <f t="shared" ref="AD19:AD59" si="14">A19</f>
        <v>45904</v>
      </c>
      <c r="AE19" s="4" t="str">
        <f t="shared" ref="AE19:AE59" si="15">VLOOKUP(F19,$M$19:$N$41,2,FALSE) &amp; IF(ISERROR(SEARCH("~*",F19)),"","*")</f>
        <v>Godehard Rau</v>
      </c>
      <c r="AF19" s="4" t="str">
        <f t="shared" ref="AF19:AF59" si="16">VLOOKUP(G19,$M$19:$N$41,2,FALSE) &amp; IF(ISERROR(SEARCH("~*",G19)),"","*")</f>
        <v>Klaus Tum</v>
      </c>
      <c r="AG19" s="4">
        <f t="shared" ref="AG19:AG59" si="17">K19</f>
        <v>0.21875</v>
      </c>
      <c r="AH19" s="4" t="str">
        <f t="shared" ref="AH19:AH59" si="18">VLOOKUP(H19,$M$19:$N$41,2,FALSE) &amp; IF(ISERROR(SEARCH("~*",H19)),"","*")</f>
        <v>Pierce Butler</v>
      </c>
      <c r="AI19" s="4" t="str">
        <f t="shared" ref="AI19:AI59" si="19">VLOOKUP(I19,$M$19:$N$41,2,FALSE) &amp; IF(ISERROR(SEARCH("~*",I19)),"","*")</f>
        <v>Goran Mecevic</v>
      </c>
    </row>
    <row r="20" spans="1:35" x14ac:dyDescent="0.2">
      <c r="A20" s="35">
        <v>45911</v>
      </c>
      <c r="B20" s="25">
        <v>4</v>
      </c>
      <c r="C20" s="25">
        <v>13</v>
      </c>
      <c r="D20" s="25">
        <v>6</v>
      </c>
      <c r="E20" s="25">
        <v>9</v>
      </c>
      <c r="F20" s="25">
        <v>11</v>
      </c>
      <c r="G20" s="25">
        <v>7</v>
      </c>
      <c r="H20" s="25">
        <v>1</v>
      </c>
      <c r="I20" s="25">
        <v>12</v>
      </c>
      <c r="J20" s="25">
        <f t="shared" si="6"/>
        <v>0</v>
      </c>
      <c r="K20" s="25">
        <f t="shared" si="7"/>
        <v>0.5</v>
      </c>
      <c r="M20" s="1">
        <v>2</v>
      </c>
      <c r="N20" s="1" t="s">
        <v>38</v>
      </c>
      <c r="O20" s="1" t="s">
        <v>37</v>
      </c>
      <c r="P20" s="27">
        <v>9082172116</v>
      </c>
      <c r="Q20" s="1">
        <v>3.5</v>
      </c>
      <c r="R20" s="1" t="s">
        <v>67</v>
      </c>
      <c r="S20" s="1"/>
      <c r="T20" s="16">
        <f t="shared" ref="T20:T57" si="20">WEEKNUM(U20)</f>
        <v>37</v>
      </c>
      <c r="U20" s="12">
        <f t="shared" si="8"/>
        <v>45911</v>
      </c>
      <c r="V20" s="16" t="str">
        <f t="shared" si="9"/>
        <v>Claus Nussgruber</v>
      </c>
      <c r="W20" s="16" t="str">
        <f t="shared" si="10"/>
        <v>Sudhakar Rao</v>
      </c>
      <c r="X20" s="16">
        <f t="shared" si="11"/>
        <v>0</v>
      </c>
      <c r="Y20" s="16" t="str">
        <f t="shared" si="12"/>
        <v>Godehard Rau</v>
      </c>
      <c r="Z20" s="16" t="str">
        <f t="shared" si="13"/>
        <v>Serban Vasile</v>
      </c>
      <c r="AC20" s="4">
        <f t="shared" ref="AC20:AC57" si="21">WEEKNUM(AD20)</f>
        <v>37</v>
      </c>
      <c r="AD20" s="20">
        <f t="shared" si="14"/>
        <v>45911</v>
      </c>
      <c r="AE20" s="4" t="str">
        <f t="shared" si="15"/>
        <v>George Walchuk</v>
      </c>
      <c r="AF20" s="4" t="str">
        <f t="shared" si="16"/>
        <v>Norm Goldberg</v>
      </c>
      <c r="AG20" s="4">
        <f t="shared" si="17"/>
        <v>0.5</v>
      </c>
      <c r="AH20" s="4" t="str">
        <f t="shared" si="18"/>
        <v>Bill Tauriello</v>
      </c>
      <c r="AI20" s="4" t="str">
        <f t="shared" si="19"/>
        <v>Klaus Tum</v>
      </c>
    </row>
    <row r="21" spans="1:35" x14ac:dyDescent="0.2">
      <c r="A21" s="35">
        <v>45918</v>
      </c>
      <c r="B21" s="25">
        <v>2</v>
      </c>
      <c r="C21" s="25">
        <v>3</v>
      </c>
      <c r="D21" s="25">
        <v>12</v>
      </c>
      <c r="E21" s="25">
        <v>1</v>
      </c>
      <c r="F21" s="25">
        <v>9</v>
      </c>
      <c r="G21" s="25">
        <v>14</v>
      </c>
      <c r="H21" s="25">
        <v>11</v>
      </c>
      <c r="I21" s="25">
        <v>6</v>
      </c>
      <c r="J21" s="25">
        <f t="shared" si="6"/>
        <v>0.375</v>
      </c>
      <c r="K21" s="25">
        <f t="shared" si="7"/>
        <v>9.375E-2</v>
      </c>
      <c r="M21" s="1">
        <v>3</v>
      </c>
      <c r="N21" s="1" t="s">
        <v>39</v>
      </c>
      <c r="O21" s="1" t="s">
        <v>37</v>
      </c>
      <c r="P21" s="27">
        <v>9085077500</v>
      </c>
      <c r="Q21" s="1">
        <v>3</v>
      </c>
      <c r="R21" s="1" t="s">
        <v>67</v>
      </c>
      <c r="S21" s="1"/>
      <c r="T21" s="16">
        <f t="shared" si="20"/>
        <v>38</v>
      </c>
      <c r="U21" s="12">
        <f t="shared" si="8"/>
        <v>45918</v>
      </c>
      <c r="V21" s="16" t="str">
        <f t="shared" si="9"/>
        <v>Bill Taylor</v>
      </c>
      <c r="W21" s="16" t="str">
        <f t="shared" si="10"/>
        <v>Bob Alexander</v>
      </c>
      <c r="X21" s="16">
        <f t="shared" si="11"/>
        <v>0.375</v>
      </c>
      <c r="Y21" s="16" t="str">
        <f t="shared" si="12"/>
        <v>Klaus Tum</v>
      </c>
      <c r="Z21" s="16" t="str">
        <f t="shared" si="13"/>
        <v>Bill Tauriello</v>
      </c>
      <c r="AC21" s="4">
        <f t="shared" si="21"/>
        <v>38</v>
      </c>
      <c r="AD21" s="20">
        <f t="shared" si="14"/>
        <v>45918</v>
      </c>
      <c r="AE21" s="4" t="str">
        <f t="shared" si="15"/>
        <v>Serban Vasile</v>
      </c>
      <c r="AF21" s="4" t="str">
        <f t="shared" si="16"/>
        <v>Tom Powers</v>
      </c>
      <c r="AG21" s="4">
        <f t="shared" si="17"/>
        <v>9.375E-2</v>
      </c>
      <c r="AH21" s="4" t="str">
        <f t="shared" si="18"/>
        <v>George Walchuk</v>
      </c>
      <c r="AI21" s="4" t="str">
        <f t="shared" si="19"/>
        <v>Godehard Rau</v>
      </c>
    </row>
    <row r="22" spans="1:35" x14ac:dyDescent="0.2">
      <c r="A22" s="35">
        <v>45925</v>
      </c>
      <c r="B22" s="25">
        <v>12</v>
      </c>
      <c r="C22" s="25">
        <v>6</v>
      </c>
      <c r="D22" s="25">
        <v>13</v>
      </c>
      <c r="E22" s="25">
        <v>4</v>
      </c>
      <c r="F22" s="25">
        <v>7</v>
      </c>
      <c r="G22" s="25">
        <v>11</v>
      </c>
      <c r="H22" s="25">
        <v>3</v>
      </c>
      <c r="I22" s="25">
        <v>2</v>
      </c>
      <c r="J22" s="25">
        <f t="shared" si="6"/>
        <v>0</v>
      </c>
      <c r="K22" s="25">
        <f t="shared" si="7"/>
        <v>0.375</v>
      </c>
      <c r="M22" s="1">
        <v>4</v>
      </c>
      <c r="N22" s="1" t="s">
        <v>40</v>
      </c>
      <c r="O22" s="1" t="s">
        <v>41</v>
      </c>
      <c r="P22" s="27">
        <v>9085774273</v>
      </c>
      <c r="Q22" s="1">
        <v>4</v>
      </c>
      <c r="R22" s="1" t="s">
        <v>67</v>
      </c>
      <c r="S22" s="1"/>
      <c r="T22" s="16">
        <f t="shared" si="20"/>
        <v>39</v>
      </c>
      <c r="U22" s="12">
        <f t="shared" si="8"/>
        <v>45925</v>
      </c>
      <c r="V22" s="16" t="str">
        <f t="shared" si="9"/>
        <v>Klaus Tum</v>
      </c>
      <c r="W22" s="16" t="str">
        <f t="shared" si="10"/>
        <v>Godehard Rau</v>
      </c>
      <c r="X22" s="16">
        <f t="shared" si="11"/>
        <v>0</v>
      </c>
      <c r="Y22" s="16" t="str">
        <f t="shared" si="12"/>
        <v>Sudhakar Rao</v>
      </c>
      <c r="Z22" s="16" t="str">
        <f t="shared" si="13"/>
        <v>Claus Nussgruber</v>
      </c>
      <c r="AC22" s="4">
        <f t="shared" si="21"/>
        <v>39</v>
      </c>
      <c r="AD22" s="20">
        <f t="shared" si="14"/>
        <v>45925</v>
      </c>
      <c r="AE22" s="4" t="str">
        <f t="shared" si="15"/>
        <v>Norm Goldberg</v>
      </c>
      <c r="AF22" s="4" t="str">
        <f t="shared" si="16"/>
        <v>George Walchuk</v>
      </c>
      <c r="AG22" s="4">
        <f t="shared" si="17"/>
        <v>0.375</v>
      </c>
      <c r="AH22" s="4" t="str">
        <f t="shared" si="18"/>
        <v>Bob Alexander</v>
      </c>
      <c r="AI22" s="4" t="str">
        <f t="shared" si="19"/>
        <v>Bill Taylor</v>
      </c>
    </row>
    <row r="23" spans="1:35" x14ac:dyDescent="0.2">
      <c r="A23" s="35">
        <v>45932</v>
      </c>
      <c r="B23" s="25">
        <v>13</v>
      </c>
      <c r="C23" s="25">
        <v>8</v>
      </c>
      <c r="D23" s="25">
        <v>14</v>
      </c>
      <c r="E23" s="25">
        <v>9</v>
      </c>
      <c r="F23" s="25">
        <v>5</v>
      </c>
      <c r="G23" s="25">
        <v>2</v>
      </c>
      <c r="H23" s="25">
        <v>6</v>
      </c>
      <c r="I23" s="25">
        <v>7</v>
      </c>
      <c r="J23" s="25">
        <f t="shared" si="6"/>
        <v>0.1875</v>
      </c>
      <c r="K23" s="25">
        <f t="shared" si="7"/>
        <v>0.375</v>
      </c>
      <c r="M23" s="1">
        <v>5</v>
      </c>
      <c r="N23" s="1" t="s">
        <v>42</v>
      </c>
      <c r="O23" s="1" t="s">
        <v>41</v>
      </c>
      <c r="P23" s="27">
        <v>9085863385</v>
      </c>
      <c r="Q23" s="1">
        <v>3</v>
      </c>
      <c r="R23" s="1" t="s">
        <v>67</v>
      </c>
      <c r="S23" s="1"/>
      <c r="T23" s="16">
        <f t="shared" si="20"/>
        <v>40</v>
      </c>
      <c r="U23" s="12">
        <f t="shared" si="8"/>
        <v>45932</v>
      </c>
      <c r="V23" s="16" t="str">
        <f t="shared" si="9"/>
        <v>Sudhakar Rao</v>
      </c>
      <c r="W23" s="16" t="str">
        <f t="shared" si="10"/>
        <v>Pierce Butler</v>
      </c>
      <c r="X23" s="16">
        <f t="shared" si="11"/>
        <v>0.1875</v>
      </c>
      <c r="Y23" s="16" t="str">
        <f t="shared" si="12"/>
        <v>Tom Powers</v>
      </c>
      <c r="Z23" s="16" t="str">
        <f t="shared" si="13"/>
        <v>Serban Vasile</v>
      </c>
      <c r="AC23" s="4">
        <f t="shared" si="21"/>
        <v>40</v>
      </c>
      <c r="AD23" s="20">
        <f t="shared" si="14"/>
        <v>45932</v>
      </c>
      <c r="AE23" s="4" t="str">
        <f t="shared" si="15"/>
        <v>Doug King</v>
      </c>
      <c r="AF23" s="4" t="str">
        <f t="shared" si="16"/>
        <v>Bill Taylor</v>
      </c>
      <c r="AG23" s="4">
        <f t="shared" si="17"/>
        <v>0.375</v>
      </c>
      <c r="AH23" s="4" t="str">
        <f t="shared" si="18"/>
        <v>Godehard Rau</v>
      </c>
      <c r="AI23" s="4" t="str">
        <f t="shared" si="19"/>
        <v>Norm Goldberg</v>
      </c>
    </row>
    <row r="24" spans="1:35" x14ac:dyDescent="0.2">
      <c r="A24" s="35">
        <v>45939</v>
      </c>
      <c r="B24" s="25">
        <v>5</v>
      </c>
      <c r="C24" s="25">
        <v>8</v>
      </c>
      <c r="D24" s="25">
        <v>3</v>
      </c>
      <c r="E24" s="25">
        <v>1</v>
      </c>
      <c r="F24" s="25">
        <v>4</v>
      </c>
      <c r="G24" s="25">
        <v>13</v>
      </c>
      <c r="H24" s="25">
        <v>11</v>
      </c>
      <c r="I24" s="25">
        <v>9</v>
      </c>
      <c r="J24" s="25">
        <f t="shared" si="6"/>
        <v>0.1875</v>
      </c>
      <c r="K24" s="25">
        <f t="shared" si="7"/>
        <v>0</v>
      </c>
      <c r="M24" s="1">
        <v>6</v>
      </c>
      <c r="N24" s="1" t="s">
        <v>1</v>
      </c>
      <c r="O24" s="1" t="s">
        <v>41</v>
      </c>
      <c r="P24" s="27">
        <v>9088720433</v>
      </c>
      <c r="Q24" s="1">
        <v>4</v>
      </c>
      <c r="R24" s="1" t="s">
        <v>67</v>
      </c>
      <c r="S24" s="1"/>
      <c r="T24" s="16">
        <f t="shared" si="20"/>
        <v>41</v>
      </c>
      <c r="U24" s="12">
        <f t="shared" si="8"/>
        <v>45939</v>
      </c>
      <c r="V24" s="16" t="str">
        <f t="shared" si="9"/>
        <v>Doug King</v>
      </c>
      <c r="W24" s="16" t="str">
        <f t="shared" si="10"/>
        <v>Pierce Butler</v>
      </c>
      <c r="X24" s="16">
        <f t="shared" si="11"/>
        <v>0.1875</v>
      </c>
      <c r="Y24" s="16" t="str">
        <f t="shared" si="12"/>
        <v>Bob Alexander</v>
      </c>
      <c r="Z24" s="16" t="str">
        <f t="shared" si="13"/>
        <v>Bill Tauriello</v>
      </c>
      <c r="AC24" s="4">
        <f t="shared" si="21"/>
        <v>41</v>
      </c>
      <c r="AD24" s="20">
        <f t="shared" si="14"/>
        <v>45939</v>
      </c>
      <c r="AE24" s="4" t="str">
        <f t="shared" si="15"/>
        <v>Claus Nussgruber</v>
      </c>
      <c r="AF24" s="4" t="str">
        <f t="shared" si="16"/>
        <v>Sudhakar Rao</v>
      </c>
      <c r="AG24" s="4">
        <f t="shared" si="17"/>
        <v>0</v>
      </c>
      <c r="AH24" s="4" t="str">
        <f t="shared" si="18"/>
        <v>George Walchuk</v>
      </c>
      <c r="AI24" s="4" t="str">
        <f t="shared" si="19"/>
        <v>Serban Vasile</v>
      </c>
    </row>
    <row r="25" spans="1:35" x14ac:dyDescent="0.2">
      <c r="A25" s="35">
        <v>45946</v>
      </c>
      <c r="B25" s="25">
        <v>5</v>
      </c>
      <c r="C25" s="25">
        <v>1</v>
      </c>
      <c r="D25" s="25">
        <v>10</v>
      </c>
      <c r="E25" s="25">
        <v>8</v>
      </c>
      <c r="F25" s="25">
        <v>9</v>
      </c>
      <c r="G25" s="25">
        <v>14</v>
      </c>
      <c r="H25" s="25">
        <v>4</v>
      </c>
      <c r="I25" s="25">
        <v>6</v>
      </c>
      <c r="J25" s="25">
        <f t="shared" si="6"/>
        <v>0.4375</v>
      </c>
      <c r="K25" s="25">
        <f t="shared" si="7"/>
        <v>9.375E-2</v>
      </c>
      <c r="M25" s="1">
        <v>7</v>
      </c>
      <c r="N25" s="1" t="s">
        <v>43</v>
      </c>
      <c r="O25" s="1" t="s">
        <v>37</v>
      </c>
      <c r="P25" s="27">
        <v>9082687951</v>
      </c>
      <c r="Q25" s="1">
        <v>3</v>
      </c>
      <c r="R25" s="1" t="s">
        <v>67</v>
      </c>
      <c r="S25" s="1"/>
      <c r="T25" s="16">
        <f t="shared" si="20"/>
        <v>42</v>
      </c>
      <c r="U25" s="12">
        <f t="shared" si="8"/>
        <v>45946</v>
      </c>
      <c r="V25" s="16" t="str">
        <f t="shared" si="9"/>
        <v>Doug King</v>
      </c>
      <c r="W25" s="16" t="str">
        <f t="shared" si="10"/>
        <v>Bill Tauriello</v>
      </c>
      <c r="X25" s="16">
        <f t="shared" si="11"/>
        <v>0.4375</v>
      </c>
      <c r="Y25" s="16" t="str">
        <f t="shared" si="12"/>
        <v>Goran Mecevic</v>
      </c>
      <c r="Z25" s="16" t="str">
        <f t="shared" si="13"/>
        <v>Pierce Butler</v>
      </c>
      <c r="AC25" s="4">
        <f t="shared" si="21"/>
        <v>42</v>
      </c>
      <c r="AD25" s="20">
        <f t="shared" si="14"/>
        <v>45946</v>
      </c>
      <c r="AE25" s="4" t="str">
        <f t="shared" si="15"/>
        <v>Serban Vasile</v>
      </c>
      <c r="AF25" s="4" t="str">
        <f t="shared" si="16"/>
        <v>Tom Powers</v>
      </c>
      <c r="AG25" s="4">
        <f t="shared" si="17"/>
        <v>9.375E-2</v>
      </c>
      <c r="AH25" s="4" t="str">
        <f t="shared" si="18"/>
        <v>Claus Nussgruber</v>
      </c>
      <c r="AI25" s="4" t="str">
        <f t="shared" si="19"/>
        <v>Godehard Rau</v>
      </c>
    </row>
    <row r="26" spans="1:35" x14ac:dyDescent="0.2">
      <c r="A26" s="35">
        <v>45953</v>
      </c>
      <c r="B26" s="25">
        <v>13</v>
      </c>
      <c r="C26" s="25">
        <v>5</v>
      </c>
      <c r="D26" s="25">
        <v>9</v>
      </c>
      <c r="E26" s="25">
        <v>4</v>
      </c>
      <c r="F26" s="25">
        <v>2</v>
      </c>
      <c r="G26" s="25">
        <v>1</v>
      </c>
      <c r="H26" s="25">
        <v>6</v>
      </c>
      <c r="I26" s="25">
        <v>3</v>
      </c>
      <c r="J26" s="25">
        <f t="shared" si="6"/>
        <v>0.375</v>
      </c>
      <c r="K26" s="25">
        <f t="shared" si="7"/>
        <v>0.375</v>
      </c>
      <c r="M26" s="1">
        <v>8</v>
      </c>
      <c r="N26" s="1" t="s">
        <v>44</v>
      </c>
      <c r="O26" s="1" t="s">
        <v>41</v>
      </c>
      <c r="P26" s="27">
        <v>9085004213</v>
      </c>
      <c r="Q26" s="1">
        <v>3.5</v>
      </c>
      <c r="R26" s="1" t="s">
        <v>67</v>
      </c>
      <c r="S26" s="1"/>
      <c r="T26" s="16">
        <f t="shared" si="20"/>
        <v>43</v>
      </c>
      <c r="U26" s="12">
        <f t="shared" si="8"/>
        <v>45953</v>
      </c>
      <c r="V26" s="16" t="str">
        <f t="shared" si="9"/>
        <v>Sudhakar Rao</v>
      </c>
      <c r="W26" s="16" t="str">
        <f t="shared" si="10"/>
        <v>Doug King</v>
      </c>
      <c r="X26" s="16">
        <f t="shared" si="11"/>
        <v>0.375</v>
      </c>
      <c r="Y26" s="16" t="str">
        <f t="shared" si="12"/>
        <v>Serban Vasile</v>
      </c>
      <c r="Z26" s="16" t="str">
        <f t="shared" si="13"/>
        <v>Claus Nussgruber</v>
      </c>
      <c r="AC26" s="4">
        <f t="shared" si="21"/>
        <v>43</v>
      </c>
      <c r="AD26" s="20">
        <f t="shared" si="14"/>
        <v>45953</v>
      </c>
      <c r="AE26" s="4" t="str">
        <f t="shared" si="15"/>
        <v>Bill Taylor</v>
      </c>
      <c r="AF26" s="4" t="str">
        <f t="shared" si="16"/>
        <v>Bill Tauriello</v>
      </c>
      <c r="AG26" s="4">
        <f t="shared" si="17"/>
        <v>0.375</v>
      </c>
      <c r="AH26" s="4" t="str">
        <f t="shared" si="18"/>
        <v>Godehard Rau</v>
      </c>
      <c r="AI26" s="4" t="str">
        <f t="shared" si="19"/>
        <v>Bob Alexander</v>
      </c>
    </row>
    <row r="27" spans="1:35" x14ac:dyDescent="0.2">
      <c r="A27" s="35">
        <v>45960</v>
      </c>
      <c r="B27" s="25">
        <v>10</v>
      </c>
      <c r="C27" s="25">
        <v>5</v>
      </c>
      <c r="D27" s="25">
        <v>7</v>
      </c>
      <c r="E27" s="25">
        <v>1</v>
      </c>
      <c r="F27" s="25">
        <v>2</v>
      </c>
      <c r="G27" s="25">
        <v>4</v>
      </c>
      <c r="H27" s="25">
        <v>8</v>
      </c>
      <c r="I27" s="25">
        <v>13</v>
      </c>
      <c r="J27" s="25">
        <f t="shared" si="6"/>
        <v>0.46875</v>
      </c>
      <c r="K27" s="25">
        <f t="shared" si="7"/>
        <v>0.25</v>
      </c>
      <c r="M27" s="1">
        <v>9</v>
      </c>
      <c r="N27" s="1" t="s">
        <v>3</v>
      </c>
      <c r="O27" s="1" t="s">
        <v>41</v>
      </c>
      <c r="P27" s="27">
        <v>9085287696</v>
      </c>
      <c r="Q27" s="1">
        <v>4</v>
      </c>
      <c r="R27" s="1" t="s">
        <v>67</v>
      </c>
      <c r="S27" s="1"/>
      <c r="T27" s="16">
        <f t="shared" si="20"/>
        <v>44</v>
      </c>
      <c r="U27" s="12">
        <f t="shared" si="8"/>
        <v>45960</v>
      </c>
      <c r="V27" s="16" t="str">
        <f t="shared" si="9"/>
        <v>Goran Mecevic</v>
      </c>
      <c r="W27" s="16" t="str">
        <f t="shared" si="10"/>
        <v>Doug King</v>
      </c>
      <c r="X27" s="16">
        <f t="shared" si="11"/>
        <v>0.46875</v>
      </c>
      <c r="Y27" s="16" t="str">
        <f t="shared" si="12"/>
        <v>Norm Goldberg</v>
      </c>
      <c r="Z27" s="16" t="str">
        <f t="shared" si="13"/>
        <v>Bill Tauriello</v>
      </c>
      <c r="AC27" s="4">
        <f t="shared" si="21"/>
        <v>44</v>
      </c>
      <c r="AD27" s="20">
        <f t="shared" si="14"/>
        <v>45960</v>
      </c>
      <c r="AE27" s="4" t="str">
        <f t="shared" si="15"/>
        <v>Bill Taylor</v>
      </c>
      <c r="AF27" s="4" t="str">
        <f t="shared" si="16"/>
        <v>Claus Nussgruber</v>
      </c>
      <c r="AG27" s="4">
        <f t="shared" si="17"/>
        <v>0.25</v>
      </c>
      <c r="AH27" s="4" t="str">
        <f t="shared" si="18"/>
        <v>Pierce Butler</v>
      </c>
      <c r="AI27" s="4" t="str">
        <f t="shared" si="19"/>
        <v>Sudhakar Rao</v>
      </c>
    </row>
    <row r="28" spans="1:35" x14ac:dyDescent="0.2">
      <c r="A28" s="35">
        <v>45967</v>
      </c>
      <c r="B28" s="25">
        <v>4</v>
      </c>
      <c r="C28" s="25">
        <v>3</v>
      </c>
      <c r="D28" s="25">
        <v>2</v>
      </c>
      <c r="E28" s="25">
        <v>12</v>
      </c>
      <c r="F28" s="25">
        <v>6</v>
      </c>
      <c r="G28" s="25">
        <v>1</v>
      </c>
      <c r="H28" s="25">
        <v>7</v>
      </c>
      <c r="I28" s="25">
        <v>5</v>
      </c>
      <c r="J28" s="25">
        <f t="shared" si="6"/>
        <v>0.375</v>
      </c>
      <c r="K28" s="25">
        <f t="shared" si="7"/>
        <v>0.375</v>
      </c>
      <c r="M28" s="1">
        <v>10</v>
      </c>
      <c r="N28" s="1" t="s">
        <v>45</v>
      </c>
      <c r="O28" s="1" t="s">
        <v>41</v>
      </c>
      <c r="P28" s="27">
        <v>9086194475</v>
      </c>
      <c r="Q28" s="1">
        <v>4.25</v>
      </c>
      <c r="R28" s="1" t="s">
        <v>67</v>
      </c>
      <c r="S28" s="1"/>
      <c r="T28" s="16">
        <f t="shared" si="20"/>
        <v>45</v>
      </c>
      <c r="U28" s="12">
        <f t="shared" si="8"/>
        <v>45967</v>
      </c>
      <c r="V28" s="16" t="str">
        <f t="shared" si="9"/>
        <v>Claus Nussgruber</v>
      </c>
      <c r="W28" s="16" t="str">
        <f t="shared" si="10"/>
        <v>Bob Alexander</v>
      </c>
      <c r="X28" s="16">
        <f t="shared" si="11"/>
        <v>0.375</v>
      </c>
      <c r="Y28" s="16" t="str">
        <f t="shared" si="12"/>
        <v>Bill Taylor</v>
      </c>
      <c r="Z28" s="16" t="str">
        <f t="shared" si="13"/>
        <v>Klaus Tum</v>
      </c>
      <c r="AC28" s="4">
        <f t="shared" si="21"/>
        <v>45</v>
      </c>
      <c r="AD28" s="20">
        <f t="shared" si="14"/>
        <v>45967</v>
      </c>
      <c r="AE28" s="4" t="str">
        <f t="shared" si="15"/>
        <v>Godehard Rau</v>
      </c>
      <c r="AF28" s="4" t="str">
        <f t="shared" si="16"/>
        <v>Bill Tauriello</v>
      </c>
      <c r="AG28" s="4">
        <f t="shared" si="17"/>
        <v>0.375</v>
      </c>
      <c r="AH28" s="4" t="str">
        <f t="shared" si="18"/>
        <v>Norm Goldberg</v>
      </c>
      <c r="AI28" s="4" t="str">
        <f t="shared" si="19"/>
        <v>Doug King</v>
      </c>
    </row>
    <row r="29" spans="1:35" x14ac:dyDescent="0.2">
      <c r="A29" s="35">
        <v>45974</v>
      </c>
      <c r="B29" s="25">
        <v>13</v>
      </c>
      <c r="C29" s="25">
        <v>7</v>
      </c>
      <c r="D29" s="25">
        <v>3</v>
      </c>
      <c r="E29" s="25">
        <v>5</v>
      </c>
      <c r="F29" s="25">
        <v>11</v>
      </c>
      <c r="G29" s="25">
        <v>8</v>
      </c>
      <c r="H29" s="25">
        <v>6</v>
      </c>
      <c r="I29" s="25">
        <v>14</v>
      </c>
      <c r="J29" s="25">
        <f t="shared" si="6"/>
        <v>0.375</v>
      </c>
      <c r="K29" s="25">
        <f t="shared" si="7"/>
        <v>0.1875</v>
      </c>
      <c r="M29" s="1">
        <v>11</v>
      </c>
      <c r="N29" s="1" t="s">
        <v>46</v>
      </c>
      <c r="O29" s="1" t="s">
        <v>47</v>
      </c>
      <c r="P29" s="27">
        <v>9088924833</v>
      </c>
      <c r="Q29" s="1">
        <v>4</v>
      </c>
      <c r="R29" s="1" t="s">
        <v>67</v>
      </c>
      <c r="S29" s="1"/>
      <c r="T29" s="16">
        <f t="shared" si="20"/>
        <v>46</v>
      </c>
      <c r="U29" s="12">
        <f t="shared" si="8"/>
        <v>45974</v>
      </c>
      <c r="V29" s="16" t="str">
        <f t="shared" si="9"/>
        <v>Sudhakar Rao</v>
      </c>
      <c r="W29" s="16" t="str">
        <f t="shared" si="10"/>
        <v>Norm Goldberg</v>
      </c>
      <c r="X29" s="16">
        <f t="shared" si="11"/>
        <v>0.375</v>
      </c>
      <c r="Y29" s="16" t="str">
        <f t="shared" si="12"/>
        <v>Bob Alexander</v>
      </c>
      <c r="Z29" s="16" t="str">
        <f t="shared" si="13"/>
        <v>Doug King</v>
      </c>
      <c r="AC29" s="4">
        <f t="shared" si="21"/>
        <v>46</v>
      </c>
      <c r="AD29" s="20">
        <f t="shared" si="14"/>
        <v>45974</v>
      </c>
      <c r="AE29" s="4" t="str">
        <f t="shared" si="15"/>
        <v>George Walchuk</v>
      </c>
      <c r="AF29" s="4" t="str">
        <f t="shared" si="16"/>
        <v>Pierce Butler</v>
      </c>
      <c r="AG29" s="4">
        <f t="shared" si="17"/>
        <v>0.1875</v>
      </c>
      <c r="AH29" s="4" t="str">
        <f t="shared" si="18"/>
        <v>Godehard Rau</v>
      </c>
      <c r="AI29" s="4" t="str">
        <f t="shared" si="19"/>
        <v>Tom Powers</v>
      </c>
    </row>
    <row r="30" spans="1:35" x14ac:dyDescent="0.2">
      <c r="A30" s="35">
        <v>45981</v>
      </c>
      <c r="B30" s="25">
        <v>8</v>
      </c>
      <c r="C30" s="25">
        <v>3</v>
      </c>
      <c r="D30" s="25">
        <v>9</v>
      </c>
      <c r="E30" s="25">
        <v>13</v>
      </c>
      <c r="F30" s="25">
        <v>10</v>
      </c>
      <c r="G30" s="25">
        <v>12</v>
      </c>
      <c r="H30" s="25">
        <v>1</v>
      </c>
      <c r="I30" s="25">
        <v>6</v>
      </c>
      <c r="J30" s="25">
        <f t="shared" si="6"/>
        <v>0.375</v>
      </c>
      <c r="K30" s="25">
        <f t="shared" si="7"/>
        <v>0.40625</v>
      </c>
      <c r="M30" s="1">
        <v>12</v>
      </c>
      <c r="N30" s="1" t="s">
        <v>48</v>
      </c>
      <c r="O30" s="1" t="s">
        <v>49</v>
      </c>
      <c r="P30" s="27">
        <v>9083922379</v>
      </c>
      <c r="Q30" s="1">
        <v>4</v>
      </c>
      <c r="R30" s="1" t="s">
        <v>67</v>
      </c>
      <c r="S30" s="1"/>
      <c r="T30" s="16">
        <f t="shared" si="20"/>
        <v>47</v>
      </c>
      <c r="U30" s="12">
        <f t="shared" si="8"/>
        <v>45981</v>
      </c>
      <c r="V30" s="16" t="str">
        <f t="shared" si="9"/>
        <v>Pierce Butler</v>
      </c>
      <c r="W30" s="16" t="str">
        <f t="shared" si="10"/>
        <v>Bob Alexander</v>
      </c>
      <c r="X30" s="16">
        <f t="shared" si="11"/>
        <v>0.375</v>
      </c>
      <c r="Y30" s="16" t="str">
        <f t="shared" si="12"/>
        <v>Serban Vasile</v>
      </c>
      <c r="Z30" s="16" t="str">
        <f t="shared" si="13"/>
        <v>Sudhakar Rao</v>
      </c>
      <c r="AC30" s="4">
        <f t="shared" si="21"/>
        <v>47</v>
      </c>
      <c r="AD30" s="20">
        <f t="shared" si="14"/>
        <v>45981</v>
      </c>
      <c r="AE30" s="4" t="str">
        <f t="shared" si="15"/>
        <v>Goran Mecevic</v>
      </c>
      <c r="AF30" s="4" t="str">
        <f t="shared" si="16"/>
        <v>Klaus Tum</v>
      </c>
      <c r="AG30" s="4">
        <f t="shared" si="17"/>
        <v>0.40625</v>
      </c>
      <c r="AH30" s="4" t="str">
        <f t="shared" si="18"/>
        <v>Bill Tauriello</v>
      </c>
      <c r="AI30" s="4" t="str">
        <f t="shared" si="19"/>
        <v>Godehard Rau</v>
      </c>
    </row>
    <row r="31" spans="1:35" x14ac:dyDescent="0.2">
      <c r="A31" s="35">
        <v>45988</v>
      </c>
      <c r="B31" s="33" t="s">
        <v>50</v>
      </c>
      <c r="C31" s="33" t="s">
        <v>50</v>
      </c>
      <c r="D31" s="33" t="s">
        <v>50</v>
      </c>
      <c r="E31" s="33" t="s">
        <v>50</v>
      </c>
      <c r="F31" s="33" t="s">
        <v>50</v>
      </c>
      <c r="G31" s="33" t="s">
        <v>50</v>
      </c>
      <c r="H31" s="33" t="s">
        <v>50</v>
      </c>
      <c r="I31" s="25" t="s">
        <v>50</v>
      </c>
      <c r="J31" s="25" t="e">
        <f t="shared" si="6"/>
        <v>#N/A</v>
      </c>
      <c r="K31" s="25" t="e">
        <f t="shared" si="7"/>
        <v>#N/A</v>
      </c>
      <c r="M31" s="1">
        <v>13</v>
      </c>
      <c r="N31" s="1" t="s">
        <v>51</v>
      </c>
      <c r="O31" s="1" t="s">
        <v>37</v>
      </c>
      <c r="P31" s="27">
        <v>9086255023</v>
      </c>
      <c r="Q31" s="1">
        <v>4</v>
      </c>
      <c r="R31" s="1" t="s">
        <v>67</v>
      </c>
      <c r="S31" s="1"/>
      <c r="T31" s="16">
        <f t="shared" si="20"/>
        <v>48</v>
      </c>
      <c r="U31" s="12">
        <f t="shared" si="8"/>
        <v>45988</v>
      </c>
      <c r="V31" s="16" t="str">
        <f t="shared" si="9"/>
        <v>Thanksgiving</v>
      </c>
      <c r="W31" s="16" t="str">
        <f t="shared" si="10"/>
        <v>Thanksgiving</v>
      </c>
      <c r="X31" s="16" t="e">
        <f t="shared" si="11"/>
        <v>#N/A</v>
      </c>
      <c r="Y31" s="16" t="str">
        <f t="shared" si="12"/>
        <v>Thanksgiving</v>
      </c>
      <c r="Z31" s="16" t="str">
        <f t="shared" si="13"/>
        <v>Thanksgiving</v>
      </c>
      <c r="AC31" s="4">
        <f t="shared" si="21"/>
        <v>48</v>
      </c>
      <c r="AD31" s="20">
        <f t="shared" si="14"/>
        <v>45988</v>
      </c>
      <c r="AE31" s="4" t="str">
        <f t="shared" si="15"/>
        <v>Thanksgiving</v>
      </c>
      <c r="AF31" s="4" t="str">
        <f t="shared" si="16"/>
        <v>Thanksgiving</v>
      </c>
      <c r="AG31" s="4" t="e">
        <f t="shared" si="17"/>
        <v>#N/A</v>
      </c>
      <c r="AH31" s="4" t="str">
        <f t="shared" si="18"/>
        <v>Thanksgiving</v>
      </c>
      <c r="AI31" s="4" t="str">
        <f t="shared" si="19"/>
        <v>Thanksgiving</v>
      </c>
    </row>
    <row r="32" spans="1:35" x14ac:dyDescent="0.2">
      <c r="A32" s="35">
        <v>45995</v>
      </c>
      <c r="B32" s="25">
        <v>1</v>
      </c>
      <c r="C32" s="25">
        <v>4</v>
      </c>
      <c r="D32" s="25">
        <v>5</v>
      </c>
      <c r="E32" s="25">
        <v>6</v>
      </c>
      <c r="F32" s="25">
        <v>7</v>
      </c>
      <c r="G32" s="25">
        <v>9</v>
      </c>
      <c r="H32" s="25">
        <v>10</v>
      </c>
      <c r="I32" s="25">
        <v>14</v>
      </c>
      <c r="J32" s="25">
        <f t="shared" si="6"/>
        <v>0.5</v>
      </c>
      <c r="K32" s="25">
        <f t="shared" si="7"/>
        <v>0.375</v>
      </c>
      <c r="M32" s="1">
        <v>14</v>
      </c>
      <c r="N32" s="1" t="s">
        <v>52</v>
      </c>
      <c r="O32" s="1" t="s">
        <v>37</v>
      </c>
      <c r="P32" s="27">
        <v>9083297532</v>
      </c>
      <c r="Q32" s="1">
        <v>3.75</v>
      </c>
      <c r="R32" s="1" t="s">
        <v>67</v>
      </c>
      <c r="S32" s="1"/>
      <c r="T32" s="16">
        <f t="shared" si="20"/>
        <v>49</v>
      </c>
      <c r="U32" s="12">
        <f t="shared" si="8"/>
        <v>45995</v>
      </c>
      <c r="V32" s="16" t="str">
        <f t="shared" si="9"/>
        <v>Bill Tauriello</v>
      </c>
      <c r="W32" s="16" t="str">
        <f t="shared" si="10"/>
        <v>Claus Nussgruber</v>
      </c>
      <c r="X32" s="16">
        <f t="shared" si="11"/>
        <v>0.5</v>
      </c>
      <c r="Y32" s="16" t="str">
        <f t="shared" si="12"/>
        <v>Doug King</v>
      </c>
      <c r="Z32" s="16" t="str">
        <f t="shared" si="13"/>
        <v>Godehard Rau</v>
      </c>
      <c r="AC32" s="4">
        <f t="shared" si="21"/>
        <v>49</v>
      </c>
      <c r="AD32" s="20">
        <f t="shared" si="14"/>
        <v>45995</v>
      </c>
      <c r="AE32" s="4" t="str">
        <f t="shared" si="15"/>
        <v>Norm Goldberg</v>
      </c>
      <c r="AF32" s="4" t="str">
        <f t="shared" si="16"/>
        <v>Serban Vasile</v>
      </c>
      <c r="AG32" s="4">
        <f t="shared" si="17"/>
        <v>0.375</v>
      </c>
      <c r="AH32" s="4" t="str">
        <f t="shared" si="18"/>
        <v>Goran Mecevic</v>
      </c>
      <c r="AI32" s="4" t="str">
        <f t="shared" si="19"/>
        <v>Tom Powers</v>
      </c>
    </row>
    <row r="33" spans="1:35" x14ac:dyDescent="0.2">
      <c r="A33" s="35">
        <v>46002</v>
      </c>
      <c r="B33" s="25">
        <v>3</v>
      </c>
      <c r="C33" s="25">
        <v>4</v>
      </c>
      <c r="D33" s="25">
        <v>5</v>
      </c>
      <c r="E33" s="25">
        <v>7</v>
      </c>
      <c r="F33" s="25">
        <v>8</v>
      </c>
      <c r="G33" s="25">
        <v>9</v>
      </c>
      <c r="H33" s="25">
        <v>12</v>
      </c>
      <c r="I33" s="25">
        <v>13</v>
      </c>
      <c r="J33" s="25">
        <f t="shared" si="6"/>
        <v>0.375</v>
      </c>
      <c r="K33" s="25">
        <f t="shared" si="7"/>
        <v>0.1875</v>
      </c>
      <c r="M33" s="1">
        <v>15</v>
      </c>
      <c r="N33" s="24" t="s">
        <v>53</v>
      </c>
      <c r="O33" s="24" t="s">
        <v>47</v>
      </c>
      <c r="P33" s="28">
        <v>9088122100</v>
      </c>
      <c r="Q33" s="24">
        <v>4</v>
      </c>
      <c r="R33" s="1" t="s">
        <v>67</v>
      </c>
      <c r="S33" s="1"/>
      <c r="T33" s="16">
        <f t="shared" si="20"/>
        <v>50</v>
      </c>
      <c r="U33" s="12">
        <f t="shared" si="8"/>
        <v>46002</v>
      </c>
      <c r="V33" s="16" t="str">
        <f t="shared" si="9"/>
        <v>Bob Alexander</v>
      </c>
      <c r="W33" s="16" t="str">
        <f t="shared" si="10"/>
        <v>Claus Nussgruber</v>
      </c>
      <c r="X33" s="16">
        <f t="shared" si="11"/>
        <v>0.375</v>
      </c>
      <c r="Y33" s="16" t="str">
        <f t="shared" si="12"/>
        <v>Doug King</v>
      </c>
      <c r="Z33" s="16" t="str">
        <f t="shared" si="13"/>
        <v>Norm Goldberg</v>
      </c>
      <c r="AC33" s="4">
        <f t="shared" si="21"/>
        <v>50</v>
      </c>
      <c r="AD33" s="20">
        <f t="shared" si="14"/>
        <v>46002</v>
      </c>
      <c r="AE33" s="4" t="str">
        <f t="shared" si="15"/>
        <v>Pierce Butler</v>
      </c>
      <c r="AF33" s="4" t="str">
        <f t="shared" si="16"/>
        <v>Serban Vasile</v>
      </c>
      <c r="AG33" s="4">
        <f t="shared" si="17"/>
        <v>0.1875</v>
      </c>
      <c r="AH33" s="4" t="str">
        <f t="shared" si="18"/>
        <v>Klaus Tum</v>
      </c>
      <c r="AI33" s="4" t="str">
        <f t="shared" si="19"/>
        <v>Sudhakar Rao</v>
      </c>
    </row>
    <row r="34" spans="1:35" x14ac:dyDescent="0.2">
      <c r="A34" s="35">
        <v>46009</v>
      </c>
      <c r="B34" s="25">
        <v>1</v>
      </c>
      <c r="C34" s="25">
        <v>2</v>
      </c>
      <c r="D34" s="25">
        <v>4</v>
      </c>
      <c r="E34" s="25">
        <v>6</v>
      </c>
      <c r="F34" s="25">
        <v>8</v>
      </c>
      <c r="G34" s="25">
        <v>9</v>
      </c>
      <c r="H34" s="25">
        <v>10</v>
      </c>
      <c r="I34" s="25">
        <v>14</v>
      </c>
      <c r="J34" s="25">
        <f t="shared" si="6"/>
        <v>0.375</v>
      </c>
      <c r="K34" s="25">
        <f t="shared" si="7"/>
        <v>0.25</v>
      </c>
      <c r="M34" s="1">
        <v>16</v>
      </c>
      <c r="N34" s="1" t="s">
        <v>54</v>
      </c>
      <c r="O34" s="1" t="s">
        <v>55</v>
      </c>
      <c r="P34" s="26">
        <v>9083100187</v>
      </c>
      <c r="Q34" s="1">
        <v>3.75</v>
      </c>
      <c r="R34" s="1" t="s">
        <v>67</v>
      </c>
      <c r="T34" s="16">
        <f t="shared" si="20"/>
        <v>51</v>
      </c>
      <c r="U34" s="12">
        <f t="shared" si="8"/>
        <v>46009</v>
      </c>
      <c r="V34" s="16" t="str">
        <f t="shared" si="9"/>
        <v>Bill Tauriello</v>
      </c>
      <c r="W34" s="16" t="str">
        <f t="shared" si="10"/>
        <v>Bill Taylor</v>
      </c>
      <c r="X34" s="16">
        <f t="shared" si="11"/>
        <v>0.375</v>
      </c>
      <c r="Y34" s="16" t="str">
        <f t="shared" si="12"/>
        <v>Claus Nussgruber</v>
      </c>
      <c r="Z34" s="16" t="str">
        <f t="shared" si="13"/>
        <v>Godehard Rau</v>
      </c>
      <c r="AC34" s="4">
        <f t="shared" si="21"/>
        <v>51</v>
      </c>
      <c r="AD34" s="20">
        <f t="shared" si="14"/>
        <v>46009</v>
      </c>
      <c r="AE34" s="4" t="str">
        <f t="shared" si="15"/>
        <v>Pierce Butler</v>
      </c>
      <c r="AF34" s="4" t="str">
        <f t="shared" si="16"/>
        <v>Serban Vasile</v>
      </c>
      <c r="AG34" s="4">
        <f t="shared" si="17"/>
        <v>0.25</v>
      </c>
      <c r="AH34" s="4" t="str">
        <f t="shared" si="18"/>
        <v>Goran Mecevic</v>
      </c>
      <c r="AI34" s="4" t="str">
        <f t="shared" si="19"/>
        <v>Tom Powers</v>
      </c>
    </row>
    <row r="35" spans="1:35" x14ac:dyDescent="0.2">
      <c r="A35" s="35">
        <v>46016</v>
      </c>
      <c r="B35" s="33" t="s">
        <v>56</v>
      </c>
      <c r="C35" s="33" t="s">
        <v>56</v>
      </c>
      <c r="D35" s="33" t="s">
        <v>56</v>
      </c>
      <c r="E35" s="33" t="s">
        <v>56</v>
      </c>
      <c r="F35" s="33" t="s">
        <v>56</v>
      </c>
      <c r="G35" s="33" t="s">
        <v>56</v>
      </c>
      <c r="H35" s="33" t="s">
        <v>56</v>
      </c>
      <c r="I35" s="25" t="s">
        <v>56</v>
      </c>
      <c r="J35" s="25" t="e">
        <f t="shared" si="6"/>
        <v>#N/A</v>
      </c>
      <c r="K35" s="25" t="e">
        <f t="shared" si="7"/>
        <v>#N/A</v>
      </c>
      <c r="M35" s="1">
        <v>17</v>
      </c>
      <c r="N35" s="1" t="s">
        <v>57</v>
      </c>
      <c r="O35" s="1" t="s">
        <v>55</v>
      </c>
      <c r="P35" s="26">
        <v>9085077440</v>
      </c>
      <c r="Q35" s="1">
        <v>3.75</v>
      </c>
      <c r="R35" s="1" t="s">
        <v>67</v>
      </c>
      <c r="T35" s="16">
        <f t="shared" si="20"/>
        <v>52</v>
      </c>
      <c r="U35" s="12">
        <f t="shared" si="8"/>
        <v>46016</v>
      </c>
      <c r="V35" s="16" t="str">
        <f t="shared" si="9"/>
        <v>Christmas</v>
      </c>
      <c r="W35" s="16" t="str">
        <f t="shared" si="10"/>
        <v>Christmas</v>
      </c>
      <c r="X35" s="16" t="e">
        <f t="shared" si="11"/>
        <v>#N/A</v>
      </c>
      <c r="Y35" s="16" t="str">
        <f t="shared" si="12"/>
        <v>Christmas</v>
      </c>
      <c r="Z35" s="16" t="str">
        <f t="shared" si="13"/>
        <v>Christmas</v>
      </c>
      <c r="AC35" s="4">
        <f t="shared" si="21"/>
        <v>52</v>
      </c>
      <c r="AD35" s="20">
        <f t="shared" si="14"/>
        <v>46016</v>
      </c>
      <c r="AE35" s="4" t="str">
        <f t="shared" si="15"/>
        <v>Christmas</v>
      </c>
      <c r="AF35" s="4" t="str">
        <f t="shared" si="16"/>
        <v>Christmas</v>
      </c>
      <c r="AG35" s="4" t="e">
        <f t="shared" si="17"/>
        <v>#N/A</v>
      </c>
      <c r="AH35" s="4" t="str">
        <f t="shared" si="18"/>
        <v>Christmas</v>
      </c>
      <c r="AI35" s="4" t="str">
        <f t="shared" si="19"/>
        <v>Christmas</v>
      </c>
    </row>
    <row r="36" spans="1:35" x14ac:dyDescent="0.2">
      <c r="A36" s="35">
        <v>46023</v>
      </c>
      <c r="B36" s="33" t="s">
        <v>58</v>
      </c>
      <c r="C36" s="33" t="s">
        <v>58</v>
      </c>
      <c r="D36" s="33" t="s">
        <v>58</v>
      </c>
      <c r="E36" s="33" t="s">
        <v>58</v>
      </c>
      <c r="F36" s="33" t="s">
        <v>58</v>
      </c>
      <c r="G36" s="33" t="s">
        <v>58</v>
      </c>
      <c r="H36" s="33" t="s">
        <v>58</v>
      </c>
      <c r="I36" s="25" t="s">
        <v>58</v>
      </c>
      <c r="J36" s="25" t="e">
        <f t="shared" si="6"/>
        <v>#N/A</v>
      </c>
      <c r="K36" s="25" t="e">
        <f t="shared" si="7"/>
        <v>#N/A</v>
      </c>
      <c r="M36" s="1">
        <v>18</v>
      </c>
      <c r="N36" s="1" t="s">
        <v>59</v>
      </c>
      <c r="O36" s="1" t="s">
        <v>55</v>
      </c>
      <c r="P36" s="26">
        <v>9088928428</v>
      </c>
      <c r="Q36" s="1">
        <v>3.75</v>
      </c>
      <c r="R36" s="1" t="s">
        <v>67</v>
      </c>
      <c r="T36" s="16">
        <f t="shared" si="20"/>
        <v>1</v>
      </c>
      <c r="U36" s="12">
        <f t="shared" si="8"/>
        <v>46023</v>
      </c>
      <c r="V36" s="16" t="str">
        <f t="shared" si="9"/>
        <v>New Year</v>
      </c>
      <c r="W36" s="16" t="str">
        <f t="shared" si="10"/>
        <v>New Year</v>
      </c>
      <c r="X36" s="16" t="e">
        <f t="shared" si="11"/>
        <v>#N/A</v>
      </c>
      <c r="Y36" s="16" t="str">
        <f t="shared" si="12"/>
        <v>New Year</v>
      </c>
      <c r="Z36" s="16" t="str">
        <f t="shared" si="13"/>
        <v>New Year</v>
      </c>
      <c r="AC36" s="4">
        <f t="shared" si="21"/>
        <v>1</v>
      </c>
      <c r="AD36" s="20">
        <f t="shared" si="14"/>
        <v>46023</v>
      </c>
      <c r="AE36" s="4" t="str">
        <f t="shared" si="15"/>
        <v>New Year</v>
      </c>
      <c r="AF36" s="4" t="str">
        <f t="shared" si="16"/>
        <v>New Year</v>
      </c>
      <c r="AG36" s="4" t="e">
        <f t="shared" si="17"/>
        <v>#N/A</v>
      </c>
      <c r="AH36" s="4" t="str">
        <f t="shared" si="18"/>
        <v>New Year</v>
      </c>
      <c r="AI36" s="4" t="str">
        <f t="shared" si="19"/>
        <v>New Year</v>
      </c>
    </row>
    <row r="37" spans="1:35" x14ac:dyDescent="0.2">
      <c r="A37" s="35">
        <v>46030</v>
      </c>
      <c r="B37" s="25">
        <v>9</v>
      </c>
      <c r="C37" s="25">
        <v>6</v>
      </c>
      <c r="D37" s="25">
        <v>4</v>
      </c>
      <c r="E37" s="25">
        <v>8</v>
      </c>
      <c r="F37" s="25">
        <v>3</v>
      </c>
      <c r="G37" s="25">
        <v>5</v>
      </c>
      <c r="H37" s="25">
        <v>2</v>
      </c>
      <c r="I37" s="25">
        <v>14</v>
      </c>
      <c r="J37" s="25">
        <f t="shared" si="6"/>
        <v>0.1875</v>
      </c>
      <c r="K37" s="25">
        <f t="shared" si="7"/>
        <v>0.3125</v>
      </c>
      <c r="M37" s="1">
        <v>19</v>
      </c>
      <c r="N37" s="1" t="s">
        <v>60</v>
      </c>
      <c r="O37" s="1" t="s">
        <v>55</v>
      </c>
      <c r="P37" s="26">
        <v>9083031793</v>
      </c>
      <c r="Q37" s="1">
        <v>3.75</v>
      </c>
      <c r="R37" s="1" t="s">
        <v>67</v>
      </c>
      <c r="T37" s="16">
        <f t="shared" si="20"/>
        <v>2</v>
      </c>
      <c r="U37" s="12">
        <f t="shared" si="8"/>
        <v>46030</v>
      </c>
      <c r="V37" s="16" t="str">
        <f t="shared" si="9"/>
        <v>Serban Vasile</v>
      </c>
      <c r="W37" s="16" t="str">
        <f t="shared" si="10"/>
        <v>Godehard Rau</v>
      </c>
      <c r="X37" s="16">
        <f t="shared" si="11"/>
        <v>0.1875</v>
      </c>
      <c r="Y37" s="16" t="str">
        <f t="shared" si="12"/>
        <v>Claus Nussgruber</v>
      </c>
      <c r="Z37" s="16" t="str">
        <f t="shared" si="13"/>
        <v>Pierce Butler</v>
      </c>
      <c r="AC37" s="4">
        <f t="shared" si="21"/>
        <v>2</v>
      </c>
      <c r="AD37" s="20">
        <f t="shared" si="14"/>
        <v>46030</v>
      </c>
      <c r="AE37" s="4" t="str">
        <f t="shared" si="15"/>
        <v>Bob Alexander</v>
      </c>
      <c r="AF37" s="4" t="str">
        <f t="shared" si="16"/>
        <v>Doug King</v>
      </c>
      <c r="AG37" s="4">
        <f t="shared" si="17"/>
        <v>0.3125</v>
      </c>
      <c r="AH37" s="4" t="str">
        <f t="shared" si="18"/>
        <v>Bill Taylor</v>
      </c>
      <c r="AI37" s="4" t="str">
        <f t="shared" si="19"/>
        <v>Tom Powers</v>
      </c>
    </row>
    <row r="38" spans="1:35" x14ac:dyDescent="0.2">
      <c r="A38" s="35">
        <v>46037</v>
      </c>
      <c r="B38" s="25">
        <v>6</v>
      </c>
      <c r="C38" s="25">
        <v>4</v>
      </c>
      <c r="D38" s="25">
        <v>7</v>
      </c>
      <c r="E38" s="25">
        <v>14</v>
      </c>
      <c r="F38" s="25">
        <v>1</v>
      </c>
      <c r="G38" s="25">
        <v>3</v>
      </c>
      <c r="H38" s="25">
        <v>5</v>
      </c>
      <c r="I38" s="25">
        <v>8</v>
      </c>
      <c r="J38" s="25">
        <f t="shared" si="6"/>
        <v>0.34375</v>
      </c>
      <c r="K38" s="25">
        <f t="shared" si="7"/>
        <v>0.1875</v>
      </c>
      <c r="M38" s="2" t="s">
        <v>50</v>
      </c>
      <c r="N38" s="2" t="s">
        <v>61</v>
      </c>
      <c r="T38" s="16">
        <f t="shared" si="20"/>
        <v>3</v>
      </c>
      <c r="U38" s="12">
        <f t="shared" si="8"/>
        <v>46037</v>
      </c>
      <c r="V38" s="16" t="str">
        <f t="shared" si="9"/>
        <v>Godehard Rau</v>
      </c>
      <c r="W38" s="16" t="str">
        <f t="shared" si="10"/>
        <v>Claus Nussgruber</v>
      </c>
      <c r="X38" s="16">
        <f t="shared" si="11"/>
        <v>0.34375</v>
      </c>
      <c r="Y38" s="16" t="str">
        <f t="shared" si="12"/>
        <v>Norm Goldberg</v>
      </c>
      <c r="Z38" s="16" t="str">
        <f t="shared" si="13"/>
        <v>Tom Powers</v>
      </c>
      <c r="AC38" s="4">
        <f t="shared" si="21"/>
        <v>3</v>
      </c>
      <c r="AD38" s="20">
        <f t="shared" si="14"/>
        <v>46037</v>
      </c>
      <c r="AE38" s="4" t="str">
        <f t="shared" si="15"/>
        <v>Bill Tauriello</v>
      </c>
      <c r="AF38" s="4" t="str">
        <f t="shared" si="16"/>
        <v>Bob Alexander</v>
      </c>
      <c r="AG38" s="4">
        <f t="shared" si="17"/>
        <v>0.1875</v>
      </c>
      <c r="AH38" s="4" t="str">
        <f t="shared" si="18"/>
        <v>Doug King</v>
      </c>
      <c r="AI38" s="4" t="str">
        <f t="shared" si="19"/>
        <v>Pierce Butler</v>
      </c>
    </row>
    <row r="39" spans="1:35" x14ac:dyDescent="0.2">
      <c r="A39" s="35">
        <v>46044</v>
      </c>
      <c r="B39" s="25">
        <v>4</v>
      </c>
      <c r="C39" s="25">
        <v>5</v>
      </c>
      <c r="D39" s="25">
        <v>1</v>
      </c>
      <c r="E39" s="25">
        <v>8</v>
      </c>
      <c r="F39" s="25">
        <v>7</v>
      </c>
      <c r="G39" s="25">
        <v>10</v>
      </c>
      <c r="H39" s="25">
        <v>6</v>
      </c>
      <c r="I39" s="25">
        <v>9</v>
      </c>
      <c r="J39" s="25">
        <f t="shared" si="6"/>
        <v>0.375</v>
      </c>
      <c r="K39" s="25">
        <f t="shared" si="7"/>
        <v>0.40625</v>
      </c>
      <c r="M39" s="2" t="s">
        <v>56</v>
      </c>
      <c r="N39" s="2" t="s">
        <v>62</v>
      </c>
      <c r="T39" s="16">
        <f t="shared" si="20"/>
        <v>4</v>
      </c>
      <c r="U39" s="12">
        <f t="shared" si="8"/>
        <v>46044</v>
      </c>
      <c r="V39" s="16" t="str">
        <f t="shared" si="9"/>
        <v>Claus Nussgruber</v>
      </c>
      <c r="W39" s="16" t="str">
        <f t="shared" si="10"/>
        <v>Doug King</v>
      </c>
      <c r="X39" s="16">
        <f t="shared" si="11"/>
        <v>0.375</v>
      </c>
      <c r="Y39" s="16" t="str">
        <f t="shared" si="12"/>
        <v>Bill Tauriello</v>
      </c>
      <c r="Z39" s="16" t="str">
        <f t="shared" si="13"/>
        <v>Pierce Butler</v>
      </c>
      <c r="AC39" s="4">
        <f t="shared" si="21"/>
        <v>4</v>
      </c>
      <c r="AD39" s="20">
        <f t="shared" si="14"/>
        <v>46044</v>
      </c>
      <c r="AE39" s="4" t="str">
        <f t="shared" si="15"/>
        <v>Norm Goldberg</v>
      </c>
      <c r="AF39" s="4" t="str">
        <f t="shared" si="16"/>
        <v>Goran Mecevic</v>
      </c>
      <c r="AG39" s="4">
        <f t="shared" si="17"/>
        <v>0.40625</v>
      </c>
      <c r="AH39" s="4" t="str">
        <f t="shared" si="18"/>
        <v>Godehard Rau</v>
      </c>
      <c r="AI39" s="4" t="str">
        <f t="shared" si="19"/>
        <v>Serban Vasile</v>
      </c>
    </row>
    <row r="40" spans="1:35" x14ac:dyDescent="0.2">
      <c r="A40" s="35">
        <v>46051</v>
      </c>
      <c r="B40" s="25">
        <v>4</v>
      </c>
      <c r="C40" s="25">
        <v>8</v>
      </c>
      <c r="D40" s="25">
        <v>9</v>
      </c>
      <c r="E40" s="25">
        <v>14</v>
      </c>
      <c r="F40" s="25">
        <v>12</v>
      </c>
      <c r="G40" s="25">
        <v>10</v>
      </c>
      <c r="H40" s="25">
        <v>5</v>
      </c>
      <c r="I40" s="25">
        <v>1</v>
      </c>
      <c r="J40" s="25">
        <f t="shared" si="6"/>
        <v>0.1875</v>
      </c>
      <c r="K40" s="25">
        <f t="shared" si="7"/>
        <v>0.5625</v>
      </c>
      <c r="M40" s="2" t="s">
        <v>58</v>
      </c>
      <c r="N40" s="2" t="s">
        <v>63</v>
      </c>
      <c r="T40" s="16">
        <f t="shared" si="20"/>
        <v>5</v>
      </c>
      <c r="U40" s="12">
        <f t="shared" si="8"/>
        <v>46051</v>
      </c>
      <c r="V40" s="16" t="str">
        <f t="shared" si="9"/>
        <v>Claus Nussgruber</v>
      </c>
      <c r="W40" s="16" t="str">
        <f t="shared" si="10"/>
        <v>Pierce Butler</v>
      </c>
      <c r="X40" s="16">
        <f t="shared" si="11"/>
        <v>0.1875</v>
      </c>
      <c r="Y40" s="16" t="str">
        <f t="shared" si="12"/>
        <v>Serban Vasile</v>
      </c>
      <c r="Z40" s="16" t="str">
        <f t="shared" si="13"/>
        <v>Tom Powers</v>
      </c>
      <c r="AC40" s="4">
        <f t="shared" si="21"/>
        <v>5</v>
      </c>
      <c r="AD40" s="20">
        <f t="shared" si="14"/>
        <v>46051</v>
      </c>
      <c r="AE40" s="4" t="str">
        <f t="shared" si="15"/>
        <v>Klaus Tum</v>
      </c>
      <c r="AF40" s="4" t="str">
        <f t="shared" si="16"/>
        <v>Goran Mecevic</v>
      </c>
      <c r="AG40" s="4">
        <f t="shared" si="17"/>
        <v>0.5625</v>
      </c>
      <c r="AH40" s="4" t="str">
        <f t="shared" si="18"/>
        <v>Doug King</v>
      </c>
      <c r="AI40" s="4" t="str">
        <f t="shared" si="19"/>
        <v>Bill Tauriello</v>
      </c>
    </row>
    <row r="41" spans="1:35" x14ac:dyDescent="0.2">
      <c r="A41" s="35">
        <v>46058</v>
      </c>
      <c r="B41" s="25">
        <v>6</v>
      </c>
      <c r="C41" s="25">
        <v>11</v>
      </c>
      <c r="D41" s="25">
        <v>4</v>
      </c>
      <c r="E41" s="25">
        <v>15</v>
      </c>
      <c r="F41" s="25">
        <v>9</v>
      </c>
      <c r="G41" s="25">
        <v>14</v>
      </c>
      <c r="H41" s="25">
        <v>10</v>
      </c>
      <c r="I41" s="25">
        <v>2</v>
      </c>
      <c r="J41" s="25">
        <f t="shared" si="6"/>
        <v>0</v>
      </c>
      <c r="K41" s="25">
        <f t="shared" si="7"/>
        <v>0.25</v>
      </c>
      <c r="M41" s="2" t="s">
        <v>64</v>
      </c>
      <c r="N41" s="2" t="s">
        <v>65</v>
      </c>
      <c r="T41" s="16">
        <f t="shared" si="20"/>
        <v>6</v>
      </c>
      <c r="U41" s="12">
        <f t="shared" si="8"/>
        <v>46058</v>
      </c>
      <c r="V41" s="16" t="str">
        <f t="shared" si="9"/>
        <v>Godehard Rau</v>
      </c>
      <c r="W41" s="16" t="str">
        <f t="shared" si="10"/>
        <v>George Walchuk</v>
      </c>
      <c r="X41" s="16">
        <f t="shared" si="11"/>
        <v>0</v>
      </c>
      <c r="Y41" s="16" t="str">
        <f t="shared" si="12"/>
        <v>Claus Nussgruber</v>
      </c>
      <c r="Z41" s="16" t="str">
        <f t="shared" si="13"/>
        <v>Adrian Turcu</v>
      </c>
      <c r="AC41" s="4">
        <f t="shared" si="21"/>
        <v>6</v>
      </c>
      <c r="AD41" s="20">
        <f t="shared" si="14"/>
        <v>46058</v>
      </c>
      <c r="AE41" s="4" t="str">
        <f t="shared" si="15"/>
        <v>Serban Vasile</v>
      </c>
      <c r="AF41" s="4" t="str">
        <f t="shared" si="16"/>
        <v>Tom Powers</v>
      </c>
      <c r="AG41" s="4">
        <f t="shared" si="17"/>
        <v>0.25</v>
      </c>
      <c r="AH41" s="4" t="str">
        <f t="shared" si="18"/>
        <v>Goran Mecevic</v>
      </c>
      <c r="AI41" s="4" t="str">
        <f t="shared" si="19"/>
        <v>Bill Taylor</v>
      </c>
    </row>
    <row r="42" spans="1:35" x14ac:dyDescent="0.2">
      <c r="A42" s="35">
        <v>46065</v>
      </c>
      <c r="B42" s="25">
        <v>6</v>
      </c>
      <c r="C42" s="25">
        <v>15</v>
      </c>
      <c r="D42" s="25">
        <v>8</v>
      </c>
      <c r="E42" s="25">
        <v>2</v>
      </c>
      <c r="F42" s="25">
        <v>12</v>
      </c>
      <c r="G42" s="25">
        <v>10</v>
      </c>
      <c r="H42" s="25">
        <v>1</v>
      </c>
      <c r="I42" s="25">
        <v>13</v>
      </c>
      <c r="J42" s="25">
        <f t="shared" si="6"/>
        <v>0.25</v>
      </c>
      <c r="K42" s="25">
        <f t="shared" si="7"/>
        <v>0.40625</v>
      </c>
      <c r="T42" s="16">
        <f t="shared" si="20"/>
        <v>7</v>
      </c>
      <c r="U42" s="12">
        <f t="shared" si="8"/>
        <v>46065</v>
      </c>
      <c r="V42" s="16" t="str">
        <f t="shared" si="9"/>
        <v>Godehard Rau</v>
      </c>
      <c r="W42" s="16" t="str">
        <f t="shared" si="10"/>
        <v>Adrian Turcu</v>
      </c>
      <c r="X42" s="16">
        <f t="shared" si="11"/>
        <v>0.25</v>
      </c>
      <c r="Y42" s="16" t="str">
        <f t="shared" si="12"/>
        <v>Pierce Butler</v>
      </c>
      <c r="Z42" s="16" t="str">
        <f t="shared" si="13"/>
        <v>Bill Taylor</v>
      </c>
      <c r="AC42" s="4">
        <f t="shared" si="21"/>
        <v>7</v>
      </c>
      <c r="AD42" s="20">
        <f t="shared" si="14"/>
        <v>46065</v>
      </c>
      <c r="AE42" s="4" t="str">
        <f t="shared" si="15"/>
        <v>Klaus Tum</v>
      </c>
      <c r="AF42" s="4" t="str">
        <f t="shared" si="16"/>
        <v>Goran Mecevic</v>
      </c>
      <c r="AG42" s="4">
        <f t="shared" si="17"/>
        <v>0.40625</v>
      </c>
      <c r="AH42" s="4" t="str">
        <f t="shared" si="18"/>
        <v>Bill Tauriello</v>
      </c>
      <c r="AI42" s="4" t="str">
        <f t="shared" si="19"/>
        <v>Sudhakar Rao</v>
      </c>
    </row>
    <row r="43" spans="1:35" x14ac:dyDescent="0.2">
      <c r="A43" s="35">
        <v>46072</v>
      </c>
      <c r="B43" s="25">
        <v>9</v>
      </c>
      <c r="C43" s="25">
        <v>14</v>
      </c>
      <c r="D43" s="25">
        <v>6</v>
      </c>
      <c r="E43" s="25">
        <v>8</v>
      </c>
      <c r="F43" s="25">
        <v>11</v>
      </c>
      <c r="G43" s="25">
        <v>1</v>
      </c>
      <c r="H43" s="25">
        <v>13</v>
      </c>
      <c r="I43" s="25">
        <v>7</v>
      </c>
      <c r="J43" s="25">
        <f t="shared" si="6"/>
        <v>0.1875</v>
      </c>
      <c r="K43" s="25">
        <f t="shared" si="7"/>
        <v>0.5</v>
      </c>
      <c r="T43" s="16">
        <f t="shared" si="20"/>
        <v>8</v>
      </c>
      <c r="U43" s="12">
        <f t="shared" si="8"/>
        <v>46072</v>
      </c>
      <c r="V43" s="16" t="str">
        <f t="shared" si="9"/>
        <v>Serban Vasile</v>
      </c>
      <c r="W43" s="16" t="str">
        <f t="shared" si="10"/>
        <v>Tom Powers</v>
      </c>
      <c r="X43" s="16">
        <f t="shared" si="11"/>
        <v>0.1875</v>
      </c>
      <c r="Y43" s="16" t="str">
        <f t="shared" si="12"/>
        <v>Godehard Rau</v>
      </c>
      <c r="Z43" s="16" t="str">
        <f t="shared" si="13"/>
        <v>Pierce Butler</v>
      </c>
      <c r="AC43" s="4">
        <f t="shared" si="21"/>
        <v>8</v>
      </c>
      <c r="AD43" s="20">
        <f t="shared" si="14"/>
        <v>46072</v>
      </c>
      <c r="AE43" s="4" t="str">
        <f t="shared" si="15"/>
        <v>George Walchuk</v>
      </c>
      <c r="AF43" s="4" t="str">
        <f t="shared" si="16"/>
        <v>Bill Tauriello</v>
      </c>
      <c r="AG43" s="4">
        <f t="shared" si="17"/>
        <v>0.5</v>
      </c>
      <c r="AH43" s="4" t="str">
        <f t="shared" si="18"/>
        <v>Sudhakar Rao</v>
      </c>
      <c r="AI43" s="4" t="str">
        <f t="shared" si="19"/>
        <v>Norm Goldberg</v>
      </c>
    </row>
    <row r="44" spans="1:35" x14ac:dyDescent="0.2">
      <c r="A44" s="35">
        <v>46079</v>
      </c>
      <c r="B44" s="25">
        <v>5</v>
      </c>
      <c r="C44" s="25">
        <v>4</v>
      </c>
      <c r="D44" s="25">
        <v>6</v>
      </c>
      <c r="E44" s="25">
        <v>7</v>
      </c>
      <c r="F44" s="25">
        <v>9</v>
      </c>
      <c r="G44" s="25">
        <v>13</v>
      </c>
      <c r="H44" s="25">
        <v>14</v>
      </c>
      <c r="I44" s="25">
        <v>2</v>
      </c>
      <c r="J44" s="25">
        <f t="shared" si="6"/>
        <v>0.5</v>
      </c>
      <c r="K44" s="25">
        <f t="shared" si="7"/>
        <v>0.1875</v>
      </c>
      <c r="T44" s="16">
        <f t="shared" si="20"/>
        <v>9</v>
      </c>
      <c r="U44" s="12">
        <f t="shared" si="8"/>
        <v>46079</v>
      </c>
      <c r="V44" s="16" t="str">
        <f t="shared" si="9"/>
        <v>Doug King</v>
      </c>
      <c r="W44" s="16" t="str">
        <f t="shared" si="10"/>
        <v>Claus Nussgruber</v>
      </c>
      <c r="X44" s="16">
        <f t="shared" si="11"/>
        <v>0.5</v>
      </c>
      <c r="Y44" s="16" t="str">
        <f t="shared" si="12"/>
        <v>Godehard Rau</v>
      </c>
      <c r="Z44" s="16" t="str">
        <f t="shared" si="13"/>
        <v>Norm Goldberg</v>
      </c>
      <c r="AC44" s="4">
        <f t="shared" si="21"/>
        <v>9</v>
      </c>
      <c r="AD44" s="20">
        <f t="shared" si="14"/>
        <v>46079</v>
      </c>
      <c r="AE44" s="4" t="str">
        <f t="shared" si="15"/>
        <v>Serban Vasile</v>
      </c>
      <c r="AF44" s="4" t="str">
        <f t="shared" si="16"/>
        <v>Sudhakar Rao</v>
      </c>
      <c r="AG44" s="4">
        <f t="shared" si="17"/>
        <v>0.1875</v>
      </c>
      <c r="AH44" s="4" t="str">
        <f t="shared" si="18"/>
        <v>Tom Powers</v>
      </c>
      <c r="AI44" s="4" t="str">
        <f t="shared" si="19"/>
        <v>Bill Taylor</v>
      </c>
    </row>
    <row r="45" spans="1:35" x14ac:dyDescent="0.2">
      <c r="A45" s="35">
        <v>46086</v>
      </c>
      <c r="B45" s="25">
        <v>7</v>
      </c>
      <c r="C45" s="25">
        <v>4</v>
      </c>
      <c r="D45" s="25">
        <v>15</v>
      </c>
      <c r="E45" s="25">
        <v>1</v>
      </c>
      <c r="F45" s="25">
        <v>5</v>
      </c>
      <c r="G45" s="25">
        <v>8</v>
      </c>
      <c r="H45" s="25">
        <v>14</v>
      </c>
      <c r="I45" s="25">
        <v>9</v>
      </c>
      <c r="J45" s="25">
        <f t="shared" si="6"/>
        <v>0.5</v>
      </c>
      <c r="K45" s="25">
        <f t="shared" si="7"/>
        <v>0.3125</v>
      </c>
      <c r="T45" s="16">
        <f t="shared" si="20"/>
        <v>10</v>
      </c>
      <c r="U45" s="12">
        <f t="shared" si="8"/>
        <v>46086</v>
      </c>
      <c r="V45" s="16" t="str">
        <f t="shared" si="9"/>
        <v>Norm Goldberg</v>
      </c>
      <c r="W45" s="16" t="str">
        <f t="shared" si="10"/>
        <v>Claus Nussgruber</v>
      </c>
      <c r="X45" s="16">
        <f t="shared" si="11"/>
        <v>0.5</v>
      </c>
      <c r="Y45" s="16" t="str">
        <f t="shared" si="12"/>
        <v>Adrian Turcu</v>
      </c>
      <c r="Z45" s="16" t="str">
        <f t="shared" si="13"/>
        <v>Bill Tauriello</v>
      </c>
      <c r="AC45" s="4">
        <f t="shared" si="21"/>
        <v>10</v>
      </c>
      <c r="AD45" s="20">
        <f t="shared" si="14"/>
        <v>46086</v>
      </c>
      <c r="AE45" s="4" t="str">
        <f t="shared" si="15"/>
        <v>Doug King</v>
      </c>
      <c r="AF45" s="4" t="str">
        <f t="shared" si="16"/>
        <v>Pierce Butler</v>
      </c>
      <c r="AG45" s="4">
        <f t="shared" si="17"/>
        <v>0.3125</v>
      </c>
      <c r="AH45" s="4" t="str">
        <f t="shared" si="18"/>
        <v>Tom Powers</v>
      </c>
      <c r="AI45" s="4" t="str">
        <f t="shared" si="19"/>
        <v>Serban Vasile</v>
      </c>
    </row>
    <row r="46" spans="1:35" x14ac:dyDescent="0.2">
      <c r="A46" s="35">
        <v>46093</v>
      </c>
      <c r="B46" s="25">
        <v>5</v>
      </c>
      <c r="C46" s="25">
        <v>9</v>
      </c>
      <c r="D46" s="25">
        <v>3</v>
      </c>
      <c r="E46" s="25">
        <v>1</v>
      </c>
      <c r="F46" s="25">
        <v>6</v>
      </c>
      <c r="G46" s="25">
        <v>13</v>
      </c>
      <c r="H46" s="25">
        <v>8</v>
      </c>
      <c r="I46" s="25">
        <v>11</v>
      </c>
      <c r="J46" s="25">
        <f t="shared" si="6"/>
        <v>0.375</v>
      </c>
      <c r="K46" s="25">
        <f t="shared" si="7"/>
        <v>0.1875</v>
      </c>
      <c r="T46" s="16">
        <f t="shared" si="20"/>
        <v>11</v>
      </c>
      <c r="U46" s="12">
        <f t="shared" si="8"/>
        <v>46093</v>
      </c>
      <c r="V46" s="16" t="str">
        <f t="shared" si="9"/>
        <v>Doug King</v>
      </c>
      <c r="W46" s="16" t="str">
        <f t="shared" si="10"/>
        <v>Serban Vasile</v>
      </c>
      <c r="X46" s="16">
        <f t="shared" si="11"/>
        <v>0.375</v>
      </c>
      <c r="Y46" s="16" t="str">
        <f t="shared" si="12"/>
        <v>Bob Alexander</v>
      </c>
      <c r="Z46" s="16" t="str">
        <f t="shared" si="13"/>
        <v>Bill Tauriello</v>
      </c>
      <c r="AC46" s="4">
        <f t="shared" si="21"/>
        <v>11</v>
      </c>
      <c r="AD46" s="20">
        <f t="shared" si="14"/>
        <v>46093</v>
      </c>
      <c r="AE46" s="4" t="str">
        <f t="shared" si="15"/>
        <v>Godehard Rau</v>
      </c>
      <c r="AF46" s="4" t="str">
        <f t="shared" si="16"/>
        <v>Sudhakar Rao</v>
      </c>
      <c r="AG46" s="4">
        <f t="shared" si="17"/>
        <v>0.1875</v>
      </c>
      <c r="AH46" s="4" t="str">
        <f t="shared" si="18"/>
        <v>Pierce Butler</v>
      </c>
      <c r="AI46" s="4" t="str">
        <f t="shared" si="19"/>
        <v>George Walchuk</v>
      </c>
    </row>
    <row r="47" spans="1:35" x14ac:dyDescent="0.2">
      <c r="A47" s="35">
        <v>46100</v>
      </c>
      <c r="B47" s="25">
        <v>4</v>
      </c>
      <c r="C47" s="25">
        <v>6</v>
      </c>
      <c r="D47" s="25">
        <v>10</v>
      </c>
      <c r="E47" s="25">
        <v>3</v>
      </c>
      <c r="F47" s="25">
        <v>2</v>
      </c>
      <c r="G47" s="25">
        <v>1</v>
      </c>
      <c r="H47" s="25">
        <v>12</v>
      </c>
      <c r="I47" s="25">
        <v>8</v>
      </c>
      <c r="J47" s="25">
        <f t="shared" si="6"/>
        <v>0.40625</v>
      </c>
      <c r="K47" s="25">
        <f t="shared" si="7"/>
        <v>0.25</v>
      </c>
      <c r="T47" s="16">
        <f t="shared" si="20"/>
        <v>12</v>
      </c>
      <c r="U47" s="12">
        <f t="shared" si="8"/>
        <v>46100</v>
      </c>
      <c r="V47" s="16" t="str">
        <f t="shared" si="9"/>
        <v>Claus Nussgruber</v>
      </c>
      <c r="W47" s="16" t="str">
        <f t="shared" si="10"/>
        <v>Godehard Rau</v>
      </c>
      <c r="X47" s="16">
        <f t="shared" si="11"/>
        <v>0.40625</v>
      </c>
      <c r="Y47" s="16" t="str">
        <f t="shared" si="12"/>
        <v>Goran Mecevic</v>
      </c>
      <c r="Z47" s="16" t="str">
        <f t="shared" si="13"/>
        <v>Bob Alexander</v>
      </c>
      <c r="AC47" s="4">
        <f t="shared" si="21"/>
        <v>12</v>
      </c>
      <c r="AD47" s="20">
        <f t="shared" si="14"/>
        <v>46100</v>
      </c>
      <c r="AE47" s="4" t="str">
        <f t="shared" si="15"/>
        <v>Bill Taylor</v>
      </c>
      <c r="AF47" s="4" t="str">
        <f t="shared" si="16"/>
        <v>Bill Tauriello</v>
      </c>
      <c r="AG47" s="4">
        <f t="shared" si="17"/>
        <v>0.25</v>
      </c>
      <c r="AH47" s="4" t="str">
        <f t="shared" si="18"/>
        <v>Klaus Tum</v>
      </c>
      <c r="AI47" s="4" t="str">
        <f t="shared" si="19"/>
        <v>Pierce Butler</v>
      </c>
    </row>
    <row r="48" spans="1:35" x14ac:dyDescent="0.2">
      <c r="A48" s="35">
        <v>46107</v>
      </c>
      <c r="B48" s="25">
        <v>9</v>
      </c>
      <c r="C48" s="25">
        <v>15</v>
      </c>
      <c r="D48" s="25">
        <v>1</v>
      </c>
      <c r="E48" s="25">
        <v>5</v>
      </c>
      <c r="F48" s="25">
        <v>3</v>
      </c>
      <c r="G48" s="25">
        <v>4</v>
      </c>
      <c r="H48" s="25">
        <v>13</v>
      </c>
      <c r="I48" s="25">
        <v>8</v>
      </c>
      <c r="J48" s="25">
        <f t="shared" si="6"/>
        <v>0.5</v>
      </c>
      <c r="K48" s="25">
        <f t="shared" si="7"/>
        <v>0.375</v>
      </c>
      <c r="T48" s="16">
        <f t="shared" si="20"/>
        <v>13</v>
      </c>
      <c r="U48" s="12">
        <f t="shared" si="8"/>
        <v>46107</v>
      </c>
      <c r="V48" s="16" t="str">
        <f t="shared" si="9"/>
        <v>Serban Vasile</v>
      </c>
      <c r="W48" s="16" t="str">
        <f t="shared" si="10"/>
        <v>Adrian Turcu</v>
      </c>
      <c r="X48" s="16">
        <f t="shared" si="11"/>
        <v>0.5</v>
      </c>
      <c r="Y48" s="16" t="str">
        <f t="shared" si="12"/>
        <v>Bill Tauriello</v>
      </c>
      <c r="Z48" s="16" t="str">
        <f t="shared" si="13"/>
        <v>Doug King</v>
      </c>
      <c r="AC48" s="4">
        <f t="shared" si="21"/>
        <v>13</v>
      </c>
      <c r="AD48" s="20">
        <f t="shared" si="14"/>
        <v>46107</v>
      </c>
      <c r="AE48" s="4" t="str">
        <f t="shared" si="15"/>
        <v>Bob Alexander</v>
      </c>
      <c r="AF48" s="4" t="str">
        <f t="shared" si="16"/>
        <v>Claus Nussgruber</v>
      </c>
      <c r="AG48" s="4">
        <f t="shared" si="17"/>
        <v>0.375</v>
      </c>
      <c r="AH48" s="4" t="str">
        <f t="shared" si="18"/>
        <v>Sudhakar Rao</v>
      </c>
      <c r="AI48" s="4" t="str">
        <f t="shared" si="19"/>
        <v>Pierce Butler</v>
      </c>
    </row>
    <row r="49" spans="1:35" x14ac:dyDescent="0.2">
      <c r="A49" s="35">
        <v>46114</v>
      </c>
      <c r="B49" s="25">
        <v>2</v>
      </c>
      <c r="C49" s="25">
        <v>9</v>
      </c>
      <c r="D49" s="25">
        <v>14</v>
      </c>
      <c r="E49" s="25">
        <v>6</v>
      </c>
      <c r="F49" s="25">
        <v>13</v>
      </c>
      <c r="G49" s="25">
        <v>3</v>
      </c>
      <c r="H49" s="25">
        <v>15</v>
      </c>
      <c r="I49" s="25">
        <v>7</v>
      </c>
      <c r="J49" s="25">
        <f t="shared" si="6"/>
        <v>0.1875</v>
      </c>
      <c r="K49" s="25">
        <f t="shared" si="7"/>
        <v>0.5</v>
      </c>
      <c r="T49" s="16">
        <f t="shared" si="20"/>
        <v>14</v>
      </c>
      <c r="U49" s="12">
        <f t="shared" si="8"/>
        <v>46114</v>
      </c>
      <c r="V49" s="16" t="str">
        <f t="shared" si="9"/>
        <v>Bill Taylor</v>
      </c>
      <c r="W49" s="16" t="str">
        <f t="shared" si="10"/>
        <v>Serban Vasile</v>
      </c>
      <c r="X49" s="16">
        <f t="shared" si="11"/>
        <v>0.1875</v>
      </c>
      <c r="Y49" s="16" t="str">
        <f t="shared" si="12"/>
        <v>Tom Powers</v>
      </c>
      <c r="Z49" s="16" t="str">
        <f t="shared" si="13"/>
        <v>Godehard Rau</v>
      </c>
      <c r="AC49" s="4">
        <f t="shared" si="21"/>
        <v>14</v>
      </c>
      <c r="AD49" s="20">
        <f t="shared" si="14"/>
        <v>46114</v>
      </c>
      <c r="AE49" s="4" t="str">
        <f t="shared" si="15"/>
        <v>Sudhakar Rao</v>
      </c>
      <c r="AF49" s="4" t="str">
        <f t="shared" si="16"/>
        <v>Bob Alexander</v>
      </c>
      <c r="AG49" s="4">
        <f t="shared" si="17"/>
        <v>0.5</v>
      </c>
      <c r="AH49" s="4" t="str">
        <f t="shared" si="18"/>
        <v>Adrian Turcu</v>
      </c>
      <c r="AI49" s="4" t="str">
        <f t="shared" si="19"/>
        <v>Norm Goldberg</v>
      </c>
    </row>
    <row r="50" spans="1:35" x14ac:dyDescent="0.2">
      <c r="A50" s="35">
        <v>46121</v>
      </c>
      <c r="B50" s="25">
        <v>13</v>
      </c>
      <c r="C50" s="25">
        <v>11</v>
      </c>
      <c r="D50" s="25">
        <v>5</v>
      </c>
      <c r="E50" s="25">
        <v>7</v>
      </c>
      <c r="F50" s="25">
        <v>12</v>
      </c>
      <c r="G50" s="25">
        <v>1</v>
      </c>
      <c r="H50" s="25">
        <v>10</v>
      </c>
      <c r="I50" s="25">
        <v>9</v>
      </c>
      <c r="J50" s="25">
        <f t="shared" si="6"/>
        <v>0.5</v>
      </c>
      <c r="K50" s="25">
        <f t="shared" si="7"/>
        <v>0.40625</v>
      </c>
      <c r="T50" s="16">
        <f t="shared" si="20"/>
        <v>15</v>
      </c>
      <c r="U50" s="12">
        <f t="shared" si="8"/>
        <v>46121</v>
      </c>
      <c r="V50" s="16" t="str">
        <f t="shared" si="9"/>
        <v>Sudhakar Rao</v>
      </c>
      <c r="W50" s="16" t="str">
        <f t="shared" si="10"/>
        <v>George Walchuk</v>
      </c>
      <c r="X50" s="16">
        <f t="shared" si="11"/>
        <v>0.5</v>
      </c>
      <c r="Y50" s="16" t="str">
        <f t="shared" si="12"/>
        <v>Doug King</v>
      </c>
      <c r="Z50" s="16" t="str">
        <f t="shared" si="13"/>
        <v>Norm Goldberg</v>
      </c>
      <c r="AC50" s="4">
        <f t="shared" si="21"/>
        <v>15</v>
      </c>
      <c r="AD50" s="20">
        <f t="shared" si="14"/>
        <v>46121</v>
      </c>
      <c r="AE50" s="4" t="str">
        <f t="shared" si="15"/>
        <v>Klaus Tum</v>
      </c>
      <c r="AF50" s="4" t="str">
        <f t="shared" si="16"/>
        <v>Bill Tauriello</v>
      </c>
      <c r="AG50" s="4">
        <f t="shared" si="17"/>
        <v>0.40625</v>
      </c>
      <c r="AH50" s="4" t="str">
        <f t="shared" si="18"/>
        <v>Goran Mecevic</v>
      </c>
      <c r="AI50" s="4" t="str">
        <f t="shared" si="19"/>
        <v>Serban Vasile</v>
      </c>
    </row>
    <row r="51" spans="1:35" x14ac:dyDescent="0.2">
      <c r="A51" s="35">
        <v>46128</v>
      </c>
      <c r="B51" s="25">
        <v>15</v>
      </c>
      <c r="C51" s="25">
        <v>9</v>
      </c>
      <c r="D51" s="25">
        <v>13</v>
      </c>
      <c r="E51" s="25">
        <v>8</v>
      </c>
      <c r="F51" s="25">
        <v>5</v>
      </c>
      <c r="G51" s="25">
        <v>14</v>
      </c>
      <c r="H51" s="25">
        <v>2</v>
      </c>
      <c r="I51" s="25">
        <v>4</v>
      </c>
      <c r="J51" s="25">
        <f t="shared" si="6"/>
        <v>0.1875</v>
      </c>
      <c r="K51" s="25">
        <f t="shared" si="7"/>
        <v>0.3125</v>
      </c>
      <c r="T51" s="16">
        <f t="shared" si="20"/>
        <v>16</v>
      </c>
      <c r="U51" s="12">
        <f t="shared" si="8"/>
        <v>46128</v>
      </c>
      <c r="V51" s="16" t="str">
        <f t="shared" si="9"/>
        <v>Adrian Turcu</v>
      </c>
      <c r="W51" s="16" t="str">
        <f t="shared" si="10"/>
        <v>Serban Vasile</v>
      </c>
      <c r="X51" s="16">
        <f t="shared" si="11"/>
        <v>0.1875</v>
      </c>
      <c r="Y51" s="16" t="str">
        <f t="shared" si="12"/>
        <v>Sudhakar Rao</v>
      </c>
      <c r="Z51" s="16" t="str">
        <f t="shared" si="13"/>
        <v>Pierce Butler</v>
      </c>
      <c r="AC51" s="4">
        <f t="shared" si="21"/>
        <v>16</v>
      </c>
      <c r="AD51" s="20">
        <f t="shared" si="14"/>
        <v>46128</v>
      </c>
      <c r="AE51" s="4" t="str">
        <f t="shared" si="15"/>
        <v>Doug King</v>
      </c>
      <c r="AF51" s="4" t="str">
        <f t="shared" si="16"/>
        <v>Tom Powers</v>
      </c>
      <c r="AG51" s="4">
        <f t="shared" si="17"/>
        <v>0.3125</v>
      </c>
      <c r="AH51" s="4" t="str">
        <f t="shared" si="18"/>
        <v>Bill Taylor</v>
      </c>
      <c r="AI51" s="4" t="str">
        <f t="shared" si="19"/>
        <v>Claus Nussgruber</v>
      </c>
    </row>
    <row r="52" spans="1:35" x14ac:dyDescent="0.2">
      <c r="A52" s="35">
        <v>46135</v>
      </c>
      <c r="B52" s="25">
        <v>5</v>
      </c>
      <c r="C52" s="25">
        <v>8</v>
      </c>
      <c r="D52" s="25">
        <v>9</v>
      </c>
      <c r="E52" s="25">
        <v>4</v>
      </c>
      <c r="F52" s="25">
        <v>11</v>
      </c>
      <c r="G52" s="25">
        <v>13</v>
      </c>
      <c r="H52" s="25">
        <v>2</v>
      </c>
      <c r="I52" s="25">
        <v>6</v>
      </c>
      <c r="J52" s="25">
        <f t="shared" si="6"/>
        <v>0.375</v>
      </c>
      <c r="K52" s="25">
        <f t="shared" si="7"/>
        <v>0.1875</v>
      </c>
      <c r="T52" s="16">
        <f t="shared" si="20"/>
        <v>17</v>
      </c>
      <c r="U52" s="12">
        <f t="shared" si="8"/>
        <v>46135</v>
      </c>
      <c r="V52" s="16" t="str">
        <f t="shared" si="9"/>
        <v>Doug King</v>
      </c>
      <c r="W52" s="16" t="str">
        <f t="shared" si="10"/>
        <v>Pierce Butler</v>
      </c>
      <c r="X52" s="16">
        <f t="shared" si="11"/>
        <v>0.375</v>
      </c>
      <c r="Y52" s="16" t="str">
        <f t="shared" si="12"/>
        <v>Serban Vasile</v>
      </c>
      <c r="Z52" s="16" t="str">
        <f t="shared" si="13"/>
        <v>Claus Nussgruber</v>
      </c>
      <c r="AC52" s="4">
        <f t="shared" si="21"/>
        <v>17</v>
      </c>
      <c r="AD52" s="20">
        <f t="shared" si="14"/>
        <v>46135</v>
      </c>
      <c r="AE52" s="4" t="str">
        <f t="shared" si="15"/>
        <v>George Walchuk</v>
      </c>
      <c r="AF52" s="4" t="str">
        <f t="shared" si="16"/>
        <v>Sudhakar Rao</v>
      </c>
      <c r="AG52" s="4">
        <f t="shared" si="17"/>
        <v>0.1875</v>
      </c>
      <c r="AH52" s="4" t="str">
        <f t="shared" si="18"/>
        <v>Bill Taylor</v>
      </c>
      <c r="AI52" s="4" t="str">
        <f t="shared" si="19"/>
        <v>Godehard Rau</v>
      </c>
    </row>
    <row r="53" spans="1:35" x14ac:dyDescent="0.2">
      <c r="A53" s="35">
        <v>46142</v>
      </c>
      <c r="B53" s="25">
        <v>10</v>
      </c>
      <c r="C53" s="25">
        <v>7</v>
      </c>
      <c r="D53" s="25">
        <v>12</v>
      </c>
      <c r="E53" s="25">
        <v>15</v>
      </c>
      <c r="F53" s="25">
        <v>1</v>
      </c>
      <c r="G53" s="25">
        <v>8</v>
      </c>
      <c r="H53" s="25">
        <v>5</v>
      </c>
      <c r="I53" s="25">
        <v>3</v>
      </c>
      <c r="J53" s="25">
        <f t="shared" si="6"/>
        <v>0.40625</v>
      </c>
      <c r="K53" s="25">
        <f t="shared" si="7"/>
        <v>0.1875</v>
      </c>
      <c r="T53" s="16">
        <f t="shared" si="20"/>
        <v>18</v>
      </c>
      <c r="U53" s="12">
        <f t="shared" si="8"/>
        <v>46142</v>
      </c>
      <c r="V53" s="16" t="str">
        <f t="shared" si="9"/>
        <v>Goran Mecevic</v>
      </c>
      <c r="W53" s="16" t="str">
        <f t="shared" si="10"/>
        <v>Norm Goldberg</v>
      </c>
      <c r="X53" s="16">
        <f t="shared" si="11"/>
        <v>0.40625</v>
      </c>
      <c r="Y53" s="16" t="str">
        <f t="shared" si="12"/>
        <v>Klaus Tum</v>
      </c>
      <c r="Z53" s="16" t="str">
        <f t="shared" si="13"/>
        <v>Adrian Turcu</v>
      </c>
      <c r="AC53" s="4">
        <f t="shared" si="21"/>
        <v>18</v>
      </c>
      <c r="AD53" s="20">
        <f t="shared" si="14"/>
        <v>46142</v>
      </c>
      <c r="AE53" s="4" t="str">
        <f t="shared" si="15"/>
        <v>Bill Tauriello</v>
      </c>
      <c r="AF53" s="4" t="str">
        <f t="shared" si="16"/>
        <v>Pierce Butler</v>
      </c>
      <c r="AG53" s="4">
        <f t="shared" si="17"/>
        <v>0.1875</v>
      </c>
      <c r="AH53" s="4" t="str">
        <f t="shared" si="18"/>
        <v>Doug King</v>
      </c>
      <c r="AI53" s="4" t="str">
        <f t="shared" si="19"/>
        <v>Bob Alexander</v>
      </c>
    </row>
    <row r="54" spans="1:35" x14ac:dyDescent="0.2">
      <c r="A54" s="35">
        <v>46149</v>
      </c>
      <c r="B54" s="25">
        <v>13</v>
      </c>
      <c r="C54" s="25">
        <v>3</v>
      </c>
      <c r="D54" s="25">
        <v>2</v>
      </c>
      <c r="E54" s="25">
        <v>5</v>
      </c>
      <c r="F54" s="25">
        <v>7</v>
      </c>
      <c r="G54" s="25">
        <v>12</v>
      </c>
      <c r="H54" s="25">
        <v>14</v>
      </c>
      <c r="I54" s="25">
        <v>6</v>
      </c>
      <c r="J54" s="25">
        <f t="shared" si="6"/>
        <v>0.375</v>
      </c>
      <c r="K54" s="25">
        <f t="shared" si="7"/>
        <v>0.34375</v>
      </c>
      <c r="T54" s="16">
        <f t="shared" si="20"/>
        <v>19</v>
      </c>
      <c r="U54" s="12">
        <f t="shared" si="8"/>
        <v>46149</v>
      </c>
      <c r="V54" s="16" t="str">
        <f t="shared" si="9"/>
        <v>Sudhakar Rao</v>
      </c>
      <c r="W54" s="16" t="str">
        <f t="shared" si="10"/>
        <v>Bob Alexander</v>
      </c>
      <c r="X54" s="16">
        <f t="shared" si="11"/>
        <v>0.375</v>
      </c>
      <c r="Y54" s="16" t="str">
        <f t="shared" si="12"/>
        <v>Bill Taylor</v>
      </c>
      <c r="Z54" s="16" t="str">
        <f t="shared" si="13"/>
        <v>Doug King</v>
      </c>
      <c r="AC54" s="4">
        <f t="shared" si="21"/>
        <v>19</v>
      </c>
      <c r="AD54" s="20">
        <f t="shared" si="14"/>
        <v>46149</v>
      </c>
      <c r="AE54" s="4" t="str">
        <f t="shared" si="15"/>
        <v>Norm Goldberg</v>
      </c>
      <c r="AF54" s="4" t="str">
        <f t="shared" si="16"/>
        <v>Klaus Tum</v>
      </c>
      <c r="AG54" s="4">
        <f t="shared" si="17"/>
        <v>0.34375</v>
      </c>
      <c r="AH54" s="4" t="str">
        <f t="shared" si="18"/>
        <v>Tom Powers</v>
      </c>
      <c r="AI54" s="4" t="str">
        <f t="shared" si="19"/>
        <v>Godehard Rau</v>
      </c>
    </row>
    <row r="55" spans="1:35" x14ac:dyDescent="0.2">
      <c r="A55" s="35">
        <v>46156</v>
      </c>
      <c r="B55" s="25">
        <v>1</v>
      </c>
      <c r="C55" s="25">
        <v>3</v>
      </c>
      <c r="D55" s="25">
        <v>12</v>
      </c>
      <c r="E55" s="25">
        <v>6</v>
      </c>
      <c r="F55" s="25">
        <v>13</v>
      </c>
      <c r="G55" s="25">
        <v>10</v>
      </c>
      <c r="H55" s="25">
        <v>7</v>
      </c>
      <c r="I55" s="25">
        <v>8</v>
      </c>
      <c r="J55" s="25">
        <f t="shared" si="6"/>
        <v>0.5</v>
      </c>
      <c r="K55" s="25">
        <f t="shared" si="7"/>
        <v>0.4375</v>
      </c>
      <c r="T55" s="16">
        <f t="shared" si="20"/>
        <v>20</v>
      </c>
      <c r="U55" s="12">
        <f t="shared" si="8"/>
        <v>46156</v>
      </c>
      <c r="V55" s="16" t="str">
        <f t="shared" si="9"/>
        <v>Bill Tauriello</v>
      </c>
      <c r="W55" s="16" t="str">
        <f t="shared" si="10"/>
        <v>Bob Alexander</v>
      </c>
      <c r="X55" s="16">
        <f t="shared" si="11"/>
        <v>0.5</v>
      </c>
      <c r="Y55" s="16" t="str">
        <f t="shared" si="12"/>
        <v>Klaus Tum</v>
      </c>
      <c r="Z55" s="16" t="str">
        <f t="shared" si="13"/>
        <v>Godehard Rau</v>
      </c>
      <c r="AC55" s="4">
        <f t="shared" si="21"/>
        <v>20</v>
      </c>
      <c r="AD55" s="20">
        <f t="shared" si="14"/>
        <v>46156</v>
      </c>
      <c r="AE55" s="4" t="str">
        <f t="shared" si="15"/>
        <v>Sudhakar Rao</v>
      </c>
      <c r="AF55" s="4" t="str">
        <f t="shared" si="16"/>
        <v>Goran Mecevic</v>
      </c>
      <c r="AG55" s="4">
        <f t="shared" si="17"/>
        <v>0.4375</v>
      </c>
      <c r="AH55" s="4" t="str">
        <f t="shared" si="18"/>
        <v>Norm Goldberg</v>
      </c>
      <c r="AI55" s="4" t="str">
        <f t="shared" si="19"/>
        <v>Pierce Butler</v>
      </c>
    </row>
    <row r="56" spans="1:35" x14ac:dyDescent="0.2">
      <c r="A56" s="35">
        <v>46163</v>
      </c>
      <c r="B56" s="25">
        <v>12</v>
      </c>
      <c r="C56" s="25">
        <v>4</v>
      </c>
      <c r="D56" s="25">
        <v>3</v>
      </c>
      <c r="E56" s="25">
        <v>2</v>
      </c>
      <c r="F56" s="25">
        <v>15</v>
      </c>
      <c r="G56" s="25">
        <v>1</v>
      </c>
      <c r="H56" s="25">
        <v>9</v>
      </c>
      <c r="I56" s="25">
        <v>14</v>
      </c>
      <c r="J56" s="25">
        <f t="shared" si="6"/>
        <v>0.375</v>
      </c>
      <c r="K56" s="25">
        <f t="shared" si="7"/>
        <v>0.34375</v>
      </c>
      <c r="T56" s="16">
        <f t="shared" si="20"/>
        <v>21</v>
      </c>
      <c r="U56" s="12">
        <f t="shared" si="8"/>
        <v>46163</v>
      </c>
      <c r="V56" s="16" t="str">
        <f t="shared" si="9"/>
        <v>Klaus Tum</v>
      </c>
      <c r="W56" s="16" t="str">
        <f t="shared" si="10"/>
        <v>Claus Nussgruber</v>
      </c>
      <c r="X56" s="16">
        <f t="shared" si="11"/>
        <v>0.375</v>
      </c>
      <c r="Y56" s="16" t="str">
        <f t="shared" si="12"/>
        <v>Bob Alexander</v>
      </c>
      <c r="Z56" s="16" t="str">
        <f t="shared" si="13"/>
        <v>Bill Taylor</v>
      </c>
      <c r="AC56" s="4">
        <f t="shared" si="21"/>
        <v>21</v>
      </c>
      <c r="AD56" s="20">
        <f t="shared" si="14"/>
        <v>46163</v>
      </c>
      <c r="AE56" s="4" t="str">
        <f t="shared" si="15"/>
        <v>Adrian Turcu</v>
      </c>
      <c r="AF56" s="4" t="str">
        <f t="shared" si="16"/>
        <v>Bill Tauriello</v>
      </c>
      <c r="AG56" s="4">
        <f t="shared" si="17"/>
        <v>0.34375</v>
      </c>
      <c r="AH56" s="4" t="str">
        <f t="shared" si="18"/>
        <v>Serban Vasile</v>
      </c>
      <c r="AI56" s="4" t="str">
        <f t="shared" si="19"/>
        <v>Tom Powers</v>
      </c>
    </row>
    <row r="57" spans="1:35" x14ac:dyDescent="0.2">
      <c r="A57" s="35">
        <v>46170</v>
      </c>
      <c r="B57" s="25">
        <v>4</v>
      </c>
      <c r="C57" s="25">
        <v>6</v>
      </c>
      <c r="D57" s="25">
        <v>1</v>
      </c>
      <c r="E57" s="25">
        <v>5</v>
      </c>
      <c r="F57" s="25">
        <v>8</v>
      </c>
      <c r="G57" s="25">
        <v>9</v>
      </c>
      <c r="H57" s="25">
        <v>7</v>
      </c>
      <c r="I57" s="25">
        <v>15</v>
      </c>
      <c r="J57" s="25">
        <f t="shared" si="6"/>
        <v>0.5</v>
      </c>
      <c r="K57" s="25">
        <f t="shared" si="7"/>
        <v>0.375</v>
      </c>
      <c r="T57" s="16">
        <f t="shared" si="20"/>
        <v>22</v>
      </c>
      <c r="U57" s="12">
        <f t="shared" si="8"/>
        <v>46170</v>
      </c>
      <c r="V57" s="16" t="str">
        <f t="shared" si="9"/>
        <v>Claus Nussgruber</v>
      </c>
      <c r="W57" s="16" t="str">
        <f t="shared" si="10"/>
        <v>Godehard Rau</v>
      </c>
      <c r="X57" s="16">
        <f t="shared" si="11"/>
        <v>0.5</v>
      </c>
      <c r="Y57" s="16" t="str">
        <f t="shared" si="12"/>
        <v>Bill Tauriello</v>
      </c>
      <c r="Z57" s="16" t="str">
        <f t="shared" si="13"/>
        <v>Doug King</v>
      </c>
      <c r="AC57" s="4">
        <f t="shared" si="21"/>
        <v>22</v>
      </c>
      <c r="AD57" s="20">
        <f t="shared" si="14"/>
        <v>46170</v>
      </c>
      <c r="AE57" s="4" t="str">
        <f t="shared" si="15"/>
        <v>Pierce Butler</v>
      </c>
      <c r="AF57" s="4" t="str">
        <f t="shared" si="16"/>
        <v>Serban Vasile</v>
      </c>
      <c r="AG57" s="4">
        <f t="shared" si="17"/>
        <v>0.375</v>
      </c>
      <c r="AH57" s="4" t="str">
        <f t="shared" si="18"/>
        <v>Norm Goldberg</v>
      </c>
      <c r="AI57" s="4" t="str">
        <f t="shared" si="19"/>
        <v>Adrian Turcu</v>
      </c>
    </row>
    <row r="58" spans="1:35" x14ac:dyDescent="0.2">
      <c r="A58" s="35">
        <v>46177</v>
      </c>
      <c r="B58" s="25">
        <v>14</v>
      </c>
      <c r="C58" s="25">
        <v>9</v>
      </c>
      <c r="D58" s="25">
        <v>4</v>
      </c>
      <c r="E58" s="25">
        <v>3</v>
      </c>
      <c r="F58" s="25">
        <v>8</v>
      </c>
      <c r="G58" s="25">
        <v>1</v>
      </c>
      <c r="H58" s="25">
        <v>5</v>
      </c>
      <c r="I58" s="25">
        <v>15</v>
      </c>
      <c r="J58" s="25">
        <f t="shared" si="6"/>
        <v>0.34375</v>
      </c>
      <c r="K58" s="25">
        <f t="shared" si="7"/>
        <v>0.375</v>
      </c>
      <c r="T58" s="16">
        <f t="shared" ref="T58" si="22">WEEKNUM(U58)</f>
        <v>23</v>
      </c>
      <c r="U58" s="12">
        <f t="shared" si="8"/>
        <v>46177</v>
      </c>
      <c r="V58" s="16" t="str">
        <f t="shared" si="9"/>
        <v>Tom Powers</v>
      </c>
      <c r="W58" s="16" t="str">
        <f t="shared" si="10"/>
        <v>Serban Vasile</v>
      </c>
      <c r="X58" s="16">
        <f t="shared" si="11"/>
        <v>0.34375</v>
      </c>
      <c r="Y58" s="16" t="str">
        <f t="shared" si="12"/>
        <v>Claus Nussgruber</v>
      </c>
      <c r="Z58" s="16" t="str">
        <f t="shared" si="13"/>
        <v>Bob Alexander</v>
      </c>
      <c r="AC58" s="4">
        <f t="shared" ref="AC58" si="23">WEEKNUM(AD58)</f>
        <v>23</v>
      </c>
      <c r="AD58" s="20">
        <f t="shared" si="14"/>
        <v>46177</v>
      </c>
      <c r="AE58" s="4" t="str">
        <f t="shared" si="15"/>
        <v>Pierce Butler</v>
      </c>
      <c r="AF58" s="4" t="str">
        <f t="shared" si="16"/>
        <v>Bill Tauriello</v>
      </c>
      <c r="AG58" s="4">
        <f t="shared" si="17"/>
        <v>0.375</v>
      </c>
      <c r="AH58" s="4" t="str">
        <f t="shared" si="18"/>
        <v>Doug King</v>
      </c>
      <c r="AI58" s="4" t="str">
        <f t="shared" si="19"/>
        <v>Adrian Turcu</v>
      </c>
    </row>
    <row r="59" spans="1:35" x14ac:dyDescent="0.2">
      <c r="A59" s="35">
        <v>46184</v>
      </c>
      <c r="B59" s="25">
        <v>8</v>
      </c>
      <c r="C59" s="25">
        <v>5</v>
      </c>
      <c r="D59" s="25">
        <v>2</v>
      </c>
      <c r="E59" s="25">
        <v>14</v>
      </c>
      <c r="F59" s="25">
        <v>3</v>
      </c>
      <c r="G59" s="25">
        <v>9</v>
      </c>
      <c r="H59" s="25">
        <v>4</v>
      </c>
      <c r="I59" s="25">
        <v>6</v>
      </c>
      <c r="J59" s="25">
        <f t="shared" si="6"/>
        <v>0.21875</v>
      </c>
      <c r="K59" s="25">
        <f t="shared" si="7"/>
        <v>0.375</v>
      </c>
      <c r="T59" s="16">
        <f t="shared" ref="T59" si="24">WEEKNUM(U59)</f>
        <v>24</v>
      </c>
      <c r="U59" s="12">
        <f t="shared" si="8"/>
        <v>46184</v>
      </c>
      <c r="V59" s="16" t="str">
        <f t="shared" si="9"/>
        <v>Pierce Butler</v>
      </c>
      <c r="W59" s="16" t="str">
        <f t="shared" si="10"/>
        <v>Doug King</v>
      </c>
      <c r="X59" s="16">
        <f t="shared" si="11"/>
        <v>0.21875</v>
      </c>
      <c r="Y59" s="16" t="str">
        <f t="shared" si="12"/>
        <v>Bill Taylor</v>
      </c>
      <c r="Z59" s="16" t="str">
        <f t="shared" si="13"/>
        <v>Tom Powers</v>
      </c>
      <c r="AC59" s="4">
        <f t="shared" ref="AC59" si="25">WEEKNUM(AD59)</f>
        <v>24</v>
      </c>
      <c r="AD59" s="20">
        <f t="shared" si="14"/>
        <v>46184</v>
      </c>
      <c r="AE59" s="4" t="str">
        <f t="shared" si="15"/>
        <v>Bob Alexander</v>
      </c>
      <c r="AF59" s="4" t="str">
        <f t="shared" si="16"/>
        <v>Serban Vasile</v>
      </c>
      <c r="AG59" s="4">
        <f t="shared" si="17"/>
        <v>0.375</v>
      </c>
      <c r="AH59" s="4" t="str">
        <f t="shared" si="18"/>
        <v>Claus Nussgruber</v>
      </c>
      <c r="AI59" s="4" t="str">
        <f t="shared" si="19"/>
        <v>Godehard Rau</v>
      </c>
    </row>
  </sheetData>
  <sortState xmlns:xlrd2="http://schemas.microsoft.com/office/spreadsheetml/2017/richdata2" ref="M19:N34">
    <sortCondition ref="N19:N34"/>
  </sortState>
  <mergeCells count="4">
    <mergeCell ref="U18:Z18"/>
    <mergeCell ref="B18:E18"/>
    <mergeCell ref="F18:I18"/>
    <mergeCell ref="AD18:AI18"/>
  </mergeCells>
  <conditionalFormatting sqref="T16:Z16">
    <cfRule type="timePeriod" dxfId="81" priority="120" timePeriod="nextWeek">
      <formula>AND(ROUNDDOWN(T16,0)-TODAY()&gt;(7-WEEKDAY(TODAY())),ROUNDDOWN(T16,0)-TODAY()&lt;(15-WEEKDAY(TODAY())))</formula>
    </cfRule>
    <cfRule type="timePeriod" dxfId="80" priority="121" timePeriod="thisWeek">
      <formula>AND(TODAY()-ROUNDDOWN(T16,0)&lt;=WEEKDAY(TODAY())-1,ROUNDDOWN(T16,0)-TODAY()&lt;=7-WEEKDAY(TODAY()))</formula>
    </cfRule>
  </conditionalFormatting>
  <conditionalFormatting sqref="U1:U1048576 AD11:AD1048576 AC7:AC10 AD2:AD6">
    <cfRule type="cellIs" dxfId="79" priority="170" operator="equal">
      <formula>$U$16</formula>
    </cfRule>
  </conditionalFormatting>
  <conditionalFormatting sqref="U14">
    <cfRule type="timePeriod" dxfId="78" priority="160" timePeriod="nextWeek">
      <formula>AND(ROUNDDOWN(U14,0)-TODAY()&gt;(7-WEEKDAY(TODAY())),ROUNDDOWN(U14,0)-TODAY()&lt;(15-WEEKDAY(TODAY())))</formula>
    </cfRule>
    <cfRule type="timePeriod" dxfId="77" priority="161" timePeriod="thisWeek">
      <formula>AND(TODAY()-ROUNDDOWN(U14,0)&lt;=WEEKDAY(TODAY())-1,ROUNDDOWN(U14,0)-TODAY()&lt;=7-WEEKDAY(TODAY()))</formula>
    </cfRule>
  </conditionalFormatting>
  <conditionalFormatting sqref="U13:Z13 V14:Z14">
    <cfRule type="timePeriod" dxfId="76" priority="162" timePeriod="nextWeek">
      <formula>AND(ROUNDDOWN(U13,0)-TODAY()&gt;(7-WEEKDAY(TODAY())),ROUNDDOWN(U13,0)-TODAY()&lt;(15-WEEKDAY(TODAY())))</formula>
    </cfRule>
    <cfRule type="timePeriod" dxfId="75" priority="163" timePeriod="thisWeek">
      <formula>AND(TODAY()-ROUNDDOWN(U13,0)&lt;=WEEKDAY(TODAY())-1,ROUNDDOWN(U13,0)-TODAY()&lt;=7-WEEKDAY(TODAY()))</formula>
    </cfRule>
  </conditionalFormatting>
  <conditionalFormatting sqref="U19:Z19 V19:Z59 U20:U59">
    <cfRule type="timePeriod" dxfId="74" priority="165" timePeriod="nextWeek">
      <formula>AND(ROUNDDOWN(U19,0)-TODAY()&gt;(7-WEEKDAY(TODAY())),ROUNDDOWN(U19,0)-TODAY()&lt;(15-WEEKDAY(TODAY())))</formula>
    </cfRule>
    <cfRule type="timePeriod" dxfId="73" priority="167" timePeriod="thisWeek">
      <formula>AND(TODAY()-ROUNDDOWN(U19,0)&lt;=WEEKDAY(TODAY())-1,ROUNDDOWN(U19,0)-TODAY()&lt;=7-WEEKDAY(TODAY()))</formula>
    </cfRule>
  </conditionalFormatting>
  <conditionalFormatting sqref="W39:W59">
    <cfRule type="timePeriod" dxfId="69" priority="22" timePeriod="nextWeek">
      <formula>AND(ROUNDDOWN(W39,0)-TODAY()&gt;(7-WEEKDAY(TODAY())),ROUNDDOWN(W39,0)-TODAY()&lt;(15-WEEKDAY(TODAY())))</formula>
    </cfRule>
    <cfRule type="timePeriod" dxfId="68" priority="23" timePeriod="thisWeek">
      <formula>AND(TODAY()-ROUNDDOWN(W39,0)&lt;=WEEKDAY(TODAY())-1,ROUNDDOWN(W39,0)-TODAY()&lt;=7-WEEKDAY(TODAY()))</formula>
    </cfRule>
  </conditionalFormatting>
  <conditionalFormatting sqref="X12:X14">
    <cfRule type="timePeriod" dxfId="65" priority="1" timePeriod="nextWeek">
      <formula>AND(ROUNDDOWN(X12,0)-TODAY()&gt;(7-WEEKDAY(TODAY())),ROUNDDOWN(X12,0)-TODAY()&lt;(15-WEEKDAY(TODAY())))</formula>
    </cfRule>
    <cfRule type="timePeriod" dxfId="64" priority="2" timePeriod="thisWeek">
      <formula>AND(TODAY()-ROUNDDOWN(X12,0)&lt;=WEEKDAY(TODAY())-1,ROUNDDOWN(X12,0)-TODAY()&lt;=7-WEEKDAY(TODAY()))</formula>
    </cfRule>
  </conditionalFormatting>
  <conditionalFormatting sqref="Y39:Z59">
    <cfRule type="timePeriod" dxfId="61" priority="14" timePeriod="nextWeek">
      <formula>AND(ROUNDDOWN(Y39,0)-TODAY()&gt;(7-WEEKDAY(TODAY())),ROUNDDOWN(Y39,0)-TODAY()&lt;(15-WEEKDAY(TODAY())))</formula>
    </cfRule>
    <cfRule type="timePeriod" dxfId="60" priority="15" timePeriod="thisWeek">
      <formula>AND(TODAY()-ROUNDDOWN(Y39,0)&lt;=WEEKDAY(TODAY())-1,ROUNDDOWN(Y39,0)-TODAY()&lt;=7-WEEKDAY(TODAY()))</formula>
    </cfRule>
  </conditionalFormatting>
  <conditionalFormatting sqref="AC16">
    <cfRule type="timePeriod" dxfId="55" priority="109" timePeriod="nextWeek">
      <formula>AND(ROUNDDOWN(AC16,0)-TODAY()&gt;(7-WEEKDAY(TODAY())),ROUNDDOWN(AC16,0)-TODAY()&lt;(15-WEEKDAY(TODAY())))</formula>
    </cfRule>
    <cfRule type="timePeriod" dxfId="54" priority="110" timePeriod="thisWeek">
      <formula>AND(TODAY()-ROUNDDOWN(AC16,0)&lt;=WEEKDAY(TODAY())-1,ROUNDDOWN(AC16,0)-TODAY()&lt;=7-WEEKDAY(TODAY()))</formula>
    </cfRule>
    <cfRule type="timePeriod" dxfId="53" priority="111" timePeriod="nextWeek">
      <formula>AND(ROUNDDOWN(AC16,0)-TODAY()&gt;(7-WEEKDAY(TODAY())),ROUNDDOWN(AC16,0)-TODAY()&lt;(15-WEEKDAY(TODAY())))</formula>
    </cfRule>
    <cfRule type="timePeriod" dxfId="52" priority="112" timePeriod="thisWeek">
      <formula>AND(TODAY()-ROUNDDOWN(AC16,0)&lt;=WEEKDAY(TODAY())-1,ROUNDDOWN(AC16,0)-TODAY()&lt;=7-WEEKDAY(TODAY()))</formula>
    </cfRule>
  </conditionalFormatting>
  <conditionalFormatting sqref="AC16:AI16">
    <cfRule type="timePeriod" dxfId="51" priority="105" timePeriod="nextWeek">
      <formula>AND(ROUNDDOWN(AC16,0)-TODAY()&gt;(7-WEEKDAY(TODAY())),ROUNDDOWN(AC16,0)-TODAY()&lt;(15-WEEKDAY(TODAY())))</formula>
    </cfRule>
    <cfRule type="timePeriod" dxfId="50" priority="106" timePeriod="thisWeek">
      <formula>AND(TODAY()-ROUNDDOWN(AC16,0)&lt;=WEEKDAY(TODAY())-1,ROUNDDOWN(AC16,0)-TODAY()&lt;=7-WEEKDAY(TODAY()))</formula>
    </cfRule>
    <cfRule type="timePeriod" dxfId="49" priority="113" timePeriod="nextWeek">
      <formula>AND(ROUNDDOWN(AC16,0)-TODAY()&gt;(7-WEEKDAY(TODAY())),ROUNDDOWN(AC16,0)-TODAY()&lt;(15-WEEKDAY(TODAY())))</formula>
    </cfRule>
    <cfRule type="timePeriod" dxfId="48" priority="114" timePeriod="thisWeek">
      <formula>AND(TODAY()-ROUNDDOWN(AC16,0)&lt;=WEEKDAY(TODAY())-1,ROUNDDOWN(AC16,0)-TODAY()&lt;=7-WEEKDAY(TODAY()))</formula>
    </cfRule>
  </conditionalFormatting>
  <conditionalFormatting sqref="AD14 AD16:AI16">
    <cfRule type="timePeriod" dxfId="47" priority="152" timePeriod="thisWeek">
      <formula>AND(TODAY()-ROUNDDOWN(AD14,0)&lt;=WEEKDAY(TODAY())-1,ROUNDDOWN(AD14,0)-TODAY()&lt;=7-WEEKDAY(TODAY()))</formula>
    </cfRule>
    <cfRule type="timePeriod" dxfId="46" priority="155" timePeriod="nextWeek">
      <formula>AND(ROUNDDOWN(AD14,0)-TODAY()&gt;(7-WEEKDAY(TODAY())),ROUNDDOWN(AD14,0)-TODAY()&lt;(15-WEEKDAY(TODAY())))</formula>
    </cfRule>
    <cfRule type="timePeriod" dxfId="45" priority="156" timePeriod="thisWeek">
      <formula>AND(TODAY()-ROUNDDOWN(AD14,0)&lt;=WEEKDAY(TODAY())-1,ROUNDDOWN(AD14,0)-TODAY()&lt;=7-WEEKDAY(TODAY()))</formula>
    </cfRule>
  </conditionalFormatting>
  <conditionalFormatting sqref="AD16">
    <cfRule type="timePeriod" dxfId="44" priority="86" timePeriod="nextWeek">
      <formula>AND(ROUNDDOWN(AD16,0)-TODAY()&gt;(7-WEEKDAY(TODAY())),ROUNDDOWN(AD16,0)-TODAY()&lt;(15-WEEKDAY(TODAY())))</formula>
    </cfRule>
    <cfRule type="timePeriod" dxfId="43" priority="87" timePeriod="thisWeek">
      <formula>AND(TODAY()-ROUNDDOWN(AD16,0)&lt;=WEEKDAY(TODAY())-1,ROUNDDOWN(AD16,0)-TODAY()&lt;=7-WEEKDAY(TODAY()))</formula>
    </cfRule>
    <cfRule type="timePeriod" dxfId="42" priority="93" timePeriod="nextWeek">
      <formula>AND(ROUNDDOWN(AD16,0)-TODAY()&gt;(7-WEEKDAY(TODAY())),ROUNDDOWN(AD16,0)-TODAY()&lt;(15-WEEKDAY(TODAY())))</formula>
    </cfRule>
    <cfRule type="timePeriod" dxfId="41" priority="94" timePeriod="thisWeek">
      <formula>AND(TODAY()-ROUNDDOWN(AD16,0)&lt;=WEEKDAY(TODAY())-1,ROUNDDOWN(AD16,0)-TODAY()&lt;=7-WEEKDAY(TODAY()))</formula>
    </cfRule>
  </conditionalFormatting>
  <conditionalFormatting sqref="AD13:AE14 AD13:AI13 AE14:AI14">
    <cfRule type="timePeriod" dxfId="40" priority="153" timePeriod="nextWeek">
      <formula>AND(ROUNDDOWN(AD13,0)-TODAY()&gt;(7-WEEKDAY(TODAY())),ROUNDDOWN(AD13,0)-TODAY()&lt;(15-WEEKDAY(TODAY())))</formula>
    </cfRule>
    <cfRule type="timePeriod" dxfId="39" priority="157" timePeriod="nextWeek">
      <formula>AND(ROUNDDOWN(AD13,0)-TODAY()&gt;(7-WEEKDAY(TODAY())),ROUNDDOWN(AD13,0)-TODAY()&lt;(15-WEEKDAY(TODAY())))</formula>
    </cfRule>
  </conditionalFormatting>
  <conditionalFormatting sqref="AD13:AI13 AD13:AE14 AE14:AI14">
    <cfRule type="timePeriod" dxfId="38" priority="154" timePeriod="thisWeek">
      <formula>AND(TODAY()-ROUNDDOWN(AD13,0)&lt;=WEEKDAY(TODAY())-1,ROUNDDOWN(AD13,0)-TODAY()&lt;=7-WEEKDAY(TODAY()))</formula>
    </cfRule>
    <cfRule type="timePeriod" dxfId="37" priority="158" timePeriod="thisWeek">
      <formula>AND(TODAY()-ROUNDDOWN(AD13,0)&lt;=WEEKDAY(TODAY())-1,ROUNDDOWN(AD13,0)-TODAY()&lt;=7-WEEKDAY(TODAY()))</formula>
    </cfRule>
  </conditionalFormatting>
  <conditionalFormatting sqref="AD16:AI16 AD14">
    <cfRule type="timePeriod" dxfId="36" priority="151" timePeriod="nextWeek">
      <formula>AND(ROUNDDOWN(AD14,0)-TODAY()&gt;(7-WEEKDAY(TODAY())),ROUNDDOWN(AD14,0)-TODAY()&lt;(15-WEEKDAY(TODAY())))</formula>
    </cfRule>
  </conditionalFormatting>
  <conditionalFormatting sqref="AD16:AI16">
    <cfRule type="timePeriod" dxfId="35" priority="97" timePeriod="nextWeek">
      <formula>AND(ROUNDDOWN(AD16,0)-TODAY()&gt;(7-WEEKDAY(TODAY())),ROUNDDOWN(AD16,0)-TODAY()&lt;(15-WEEKDAY(TODAY())))</formula>
    </cfRule>
    <cfRule type="timePeriod" dxfId="34" priority="98" timePeriod="thisWeek">
      <formula>AND(TODAY()-ROUNDDOWN(AD16,0)&lt;=WEEKDAY(TODAY())-1,ROUNDDOWN(AD16,0)-TODAY()&lt;=7-WEEKDAY(TODAY()))</formula>
    </cfRule>
    <cfRule type="timePeriod" dxfId="33" priority="99" timePeriod="nextWeek">
      <formula>AND(ROUNDDOWN(AD16,0)-TODAY()&gt;(7-WEEKDAY(TODAY())),ROUNDDOWN(AD16,0)-TODAY()&lt;(15-WEEKDAY(TODAY())))</formula>
    </cfRule>
    <cfRule type="timePeriod" dxfId="32" priority="100" timePeriod="thisWeek">
      <formula>AND(TODAY()-ROUNDDOWN(AD16,0)&lt;=WEEKDAY(TODAY())-1,ROUNDDOWN(AD16,0)-TODAY()&lt;=7-WEEKDAY(TODAY()))</formula>
    </cfRule>
    <cfRule type="timePeriod" dxfId="31" priority="103" timePeriod="nextWeek">
      <formula>AND(ROUNDDOWN(AD16,0)-TODAY()&gt;(7-WEEKDAY(TODAY())),ROUNDDOWN(AD16,0)-TODAY()&lt;(15-WEEKDAY(TODAY())))</formula>
    </cfRule>
    <cfRule type="timePeriod" dxfId="30" priority="104" timePeriod="thisWeek">
      <formula>AND(TODAY()-ROUNDDOWN(AD16,0)&lt;=WEEKDAY(TODAY())-1,ROUNDDOWN(AD16,0)-TODAY()&lt;=7-WEEKDAY(TODAY()))</formula>
    </cfRule>
    <cfRule type="timePeriod" dxfId="29" priority="118" timePeriod="nextWeek">
      <formula>AND(ROUNDDOWN(AD16,0)-TODAY()&gt;(7-WEEKDAY(TODAY())),ROUNDDOWN(AD16,0)-TODAY()&lt;(15-WEEKDAY(TODAY())))</formula>
    </cfRule>
    <cfRule type="timePeriod" dxfId="28" priority="119" timePeriod="thisWeek">
      <formula>AND(TODAY()-ROUNDDOWN(AD16,0)&lt;=WEEKDAY(TODAY())-1,ROUNDDOWN(AD16,0)-TODAY()&lt;=7-WEEKDAY(TODAY()))</formula>
    </cfRule>
  </conditionalFormatting>
  <conditionalFormatting sqref="AD19:AI59">
    <cfRule type="timePeriod" dxfId="27" priority="164" timePeriod="nextWeek">
      <formula>AND(ROUNDDOWN(AD19,0)-TODAY()&gt;(7-WEEKDAY(TODAY())),ROUNDDOWN(AD19,0)-TODAY()&lt;(15-WEEKDAY(TODAY())))</formula>
    </cfRule>
    <cfRule type="timePeriod" dxfId="26" priority="166" timePeriod="thisWeek">
      <formula>AND(TODAY()-ROUNDDOWN(AD19,0)&lt;=WEEKDAY(TODAY())-1,ROUNDDOWN(AD19,0)-TODAY()&lt;=7-WEEKDAY(TODAY()))</formula>
    </cfRule>
  </conditionalFormatting>
  <conditionalFormatting sqref="AE19:AI59">
    <cfRule type="timePeriod" dxfId="25" priority="145" timePeriod="nextWeek">
      <formula>AND(ROUNDDOWN(AE19,0)-TODAY()&gt;(7-WEEKDAY(TODAY())),ROUNDDOWN(AE19,0)-TODAY()&lt;(15-WEEKDAY(TODAY())))</formula>
    </cfRule>
    <cfRule type="timePeriod" dxfId="24" priority="146" timePeriod="thisWeek">
      <formula>AND(TODAY()-ROUNDDOWN(AE19,0)&lt;=WEEKDAY(TODAY())-1,ROUNDDOWN(AE19,0)-TODAY()&lt;=7-WEEKDAY(TODAY()))</formula>
    </cfRule>
  </conditionalFormatting>
  <conditionalFormatting sqref="AG12">
    <cfRule type="timePeriod" dxfId="22" priority="49" timePeriod="nextWeek">
      <formula>AND(ROUNDDOWN(AG12,0)-TODAY()&gt;(7-WEEKDAY(TODAY())),ROUNDDOWN(AG12,0)-TODAY()&lt;(15-WEEKDAY(TODAY())))</formula>
    </cfRule>
    <cfRule type="timePeriod" dxfId="21" priority="50" timePeriod="thisWeek">
      <formula>AND(TODAY()-ROUNDDOWN(AG12,0)&lt;=WEEKDAY(TODAY())-1,ROUNDDOWN(AG12,0)-TODAY()&lt;=7-WEEKDAY(TODAY()))</formula>
    </cfRule>
    <cfRule type="timePeriod" dxfId="20" priority="51" timePeriod="nextWeek">
      <formula>AND(ROUNDDOWN(AG12,0)-TODAY()&gt;(7-WEEKDAY(TODAY())),ROUNDDOWN(AG12,0)-TODAY()&lt;(15-WEEKDAY(TODAY())))</formula>
    </cfRule>
    <cfRule type="timePeriod" dxfId="19" priority="52" timePeriod="thisWeek">
      <formula>AND(TODAY()-ROUNDDOWN(AG12,0)&lt;=WEEKDAY(TODAY())-1,ROUNDDOWN(AG12,0)-TODAY()&lt;=7-WEEKDAY(TODAY()))</formula>
    </cfRule>
    <cfRule type="timePeriod" dxfId="18" priority="53" timePeriod="nextWeek">
      <formula>AND(ROUNDDOWN(AG12,0)-TODAY()&gt;(7-WEEKDAY(TODAY())),ROUNDDOWN(AG12,0)-TODAY()&lt;(15-WEEKDAY(TODAY())))</formula>
    </cfRule>
    <cfRule type="timePeriod" dxfId="17" priority="54" timePeriod="thisWeek">
      <formula>AND(TODAY()-ROUNDDOWN(AG12,0)&lt;=WEEKDAY(TODAY())-1,ROUNDDOWN(AG12,0)-TODAY()&lt;=7-WEEKDAY(TODAY()))</formula>
    </cfRule>
  </conditionalFormatting>
  <conditionalFormatting sqref="AG13:AG14">
    <cfRule type="timePeriod" dxfId="15" priority="149" timePeriod="nextWeek">
      <formula>AND(ROUNDDOWN(AG13,0)-TODAY()&gt;(7-WEEKDAY(TODAY())),ROUNDDOWN(AG13,0)-TODAY()&lt;(15-WEEKDAY(TODAY())))</formula>
    </cfRule>
    <cfRule type="timePeriod" dxfId="14" priority="150" timePeriod="thisWeek">
      <formula>AND(TODAY()-ROUNDDOWN(AG13,0)&lt;=WEEKDAY(TODAY())-1,ROUNDDOWN(AG13,0)-TODAY()&lt;=7-WEEKDAY(TODAY()))</formula>
    </cfRule>
  </conditionalFormatting>
  <conditionalFormatting sqref="AG16">
    <cfRule type="timePeriod" dxfId="13" priority="95" timePeriod="nextWeek">
      <formula>AND(ROUNDDOWN(AG16,0)-TODAY()&gt;(7-WEEKDAY(TODAY())),ROUNDDOWN(AG16,0)-TODAY()&lt;(15-WEEKDAY(TODAY())))</formula>
    </cfRule>
    <cfRule type="timePeriod" dxfId="12" priority="96" timePeriod="thisWeek">
      <formula>AND(TODAY()-ROUNDDOWN(AG16,0)&lt;=WEEKDAY(TODAY())-1,ROUNDDOWN(AG16,0)-TODAY()&lt;=7-WEEKDAY(TODAY()))</formula>
    </cfRule>
    <cfRule type="timePeriod" dxfId="11" priority="101" timePeriod="nextWeek">
      <formula>AND(ROUNDDOWN(AG16,0)-TODAY()&gt;(7-WEEKDAY(TODAY())),ROUNDDOWN(AG16,0)-TODAY()&lt;(15-WEEKDAY(TODAY())))</formula>
    </cfRule>
    <cfRule type="timePeriod" dxfId="10" priority="102" timePeriod="thisWeek">
      <formula>AND(TODAY()-ROUNDDOWN(AG16,0)&lt;=WEEKDAY(TODAY())-1,ROUNDDOWN(AG16,0)-TODAY()&lt;=7-WEEKDAY(TODAY()))</formula>
    </cfRule>
  </conditionalFormatting>
  <conditionalFormatting sqref="AH19:AI59">
    <cfRule type="timePeriod" dxfId="8" priority="133" timePeriod="nextWeek">
      <formula>AND(ROUNDDOWN(AH19,0)-TODAY()&gt;(7-WEEKDAY(TODAY())),ROUNDDOWN(AH19,0)-TODAY()&lt;(15-WEEKDAY(TODAY())))</formula>
    </cfRule>
    <cfRule type="timePeriod" dxfId="7" priority="134" timePeriod="thisWeek">
      <formula>AND(TODAY()-ROUNDDOWN(AH19,0)&lt;=WEEKDAY(TODAY())-1,ROUNDDOWN(AH19,0)-TODAY()&lt;=7-WEEKDAY(TODAY()))</formula>
    </cfRule>
    <cfRule type="timePeriod" dxfId="6" priority="137" timePeriod="nextWeek">
      <formula>AND(ROUNDDOWN(AH19,0)-TODAY()&gt;(7-WEEKDAY(TODAY())),ROUNDDOWN(AH19,0)-TODAY()&lt;(15-WEEKDAY(TODAY())))</formula>
    </cfRule>
    <cfRule type="timePeriod" dxfId="5" priority="138" timePeriod="thisWeek">
      <formula>AND(TODAY()-ROUNDDOWN(AH19,0)&lt;=WEEKDAY(TODAY())-1,ROUNDDOWN(AH19,0)-TODAY()&lt;=7-WEEKDAY(TODAY()))</formula>
    </cfRule>
  </conditionalFormatting>
  <dataValidations count="1">
    <dataValidation type="list" allowBlank="1" showInputMessage="1" showErrorMessage="1" sqref="U2 X2" xr:uid="{0FD0BD42-3E73-41BA-B208-5E4DEA8C097C}">
      <formula1>$N$19:$N$37</formula1>
    </dataValidation>
  </dataValidations>
  <pageMargins left="0.7" right="0.7" top="0.75" bottom="0.75" header="0.3" footer="0.3"/>
  <pageSetup orientation="portrait" horizontalDpi="1200" r:id="rId1"/>
  <ignoredErrors>
    <ignoredError sqref="AE13:AI14 AD13:AD14 U14:V14 U13" calculatedColumn="1"/>
    <ignoredError sqref="W13:W14" formula="1"/>
  </ignoredErrors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" operator="containsText" id="{44922633-37E9-4D37-9B96-76ABC86C5E6C}">
            <xm:f>NOT(ISERROR(SEARCH($X$2,A2)))</xm:f>
            <xm:f>$X$2</xm:f>
            <x14:dxf>
              <font>
                <color rgb="FF6600FF"/>
              </font>
              <fill>
                <patternFill>
                  <bgColor rgb="FFCCCCFF"/>
                </patternFill>
              </fill>
            </x14:dxf>
          </x14:cfRule>
          <xm:sqref>A2:XFD10</xm:sqref>
        </x14:conditionalFormatting>
        <x14:conditionalFormatting xmlns:xm="http://schemas.microsoft.com/office/excel/2006/main">
          <x14:cfRule type="containsText" priority="88" operator="containsText" id="{60B2E6B6-11DB-4FF0-BF47-3B9EB4D2C0AF}">
            <xm:f>NOT(ISERROR(SEARCH($X$2,A11)))</xm:f>
            <xm:f>$X$2</xm:f>
            <x14:dxf>
              <font>
                <color rgb="FF6600FF"/>
              </font>
              <fill>
                <patternFill>
                  <bgColor rgb="FFCCCCFF"/>
                </patternFill>
              </fill>
            </x14:dxf>
          </x14:cfRule>
          <xm:sqref>A11:XFD17 V19:Z59 A18:B18 F18 J18:M18 S18:XFD19 N18:N37 H19:M20 A19:A59 AE19:AI59 S20:U20 J20:K59 AA20:XFD59 H21:L29 M21:M37 U21:U57 H30:I30 J30:L59 I31 N34:Q36 O38:T57 M38:N41 M42:S1048576 T58:U58 O59:U59 A60:L1048576 O60:XFD1048576 O34:Q37 S21:T37</xm:sqref>
        </x14:conditionalFormatting>
        <x14:conditionalFormatting xmlns:xm="http://schemas.microsoft.com/office/excel/2006/main">
          <x14:cfRule type="containsText" priority="32" operator="containsText" id="{0FA8A02A-6CFE-43F4-B22E-AD821B16B6AD}">
            <xm:f>NOT(ISERROR(SEARCH($X$2,B19)))</xm:f>
            <xm:f>$X$2</xm:f>
            <x14:dxf>
              <font>
                <color rgb="FF6600FF"/>
              </font>
              <fill>
                <patternFill>
                  <bgColor rgb="FFCCCCFF"/>
                </patternFill>
              </fill>
            </x14:dxf>
          </x14:cfRule>
          <x14:cfRule type="containsText" priority="33" operator="containsText" id="{E4D3AD1A-F59D-4AC2-A888-3CBB1F0D32BC}">
            <xm:f>NOT(ISERROR(SEARCH($U$2,B19)))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B19:G30</xm:sqref>
        </x14:conditionalFormatting>
        <x14:conditionalFormatting xmlns:xm="http://schemas.microsoft.com/office/excel/2006/main">
          <x14:cfRule type="containsText" priority="11" operator="containsText" id="{7C7D81E0-5452-4C36-8734-2D3A6279487C}">
            <xm:f>NOT(ISERROR(SEARCH($X$2,B32)))</xm:f>
            <xm:f>$X$2</xm:f>
            <x14:dxf>
              <font>
                <color rgb="FF6600FF"/>
              </font>
              <fill>
                <patternFill>
                  <bgColor rgb="FFCCCCFF"/>
                </patternFill>
              </fill>
            </x14:dxf>
          </x14:cfRule>
          <x14:cfRule type="containsText" priority="12" operator="containsText" id="{36140B82-B19C-4DC4-937F-472A91F3AEAD}">
            <xm:f>NOT(ISERROR(SEARCH($U$2,B32)))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B32:I59</xm:sqref>
        </x14:conditionalFormatting>
        <x14:conditionalFormatting xmlns:xm="http://schemas.microsoft.com/office/excel/2006/main">
          <x14:cfRule type="containsText" priority="44" operator="containsText" id="{FC286628-CE59-4901-9DCE-3C21685F810E}">
            <xm:f>NOT(ISERROR(SEARCH($X$2,O18)))</xm:f>
            <xm:f>$X$2</xm:f>
            <x14:dxf>
              <font>
                <color rgb="FF6600FF"/>
              </font>
              <fill>
                <patternFill>
                  <bgColor rgb="FFCCCCFF"/>
                </patternFill>
              </fill>
            </x14:dxf>
          </x14:cfRule>
          <x14:cfRule type="containsText" priority="45" operator="containsText" id="{27BAD1CE-BF2A-43B5-8B08-39636596C893}">
            <xm:f>NOT(ISERROR(SEARCH($U$2,O18)))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O18:R19 O20:Q33 R20:R37</xm:sqref>
        </x14:conditionalFormatting>
        <x14:conditionalFormatting xmlns:xm="http://schemas.microsoft.com/office/excel/2006/main">
          <x14:cfRule type="containsText" priority="169" operator="containsText" id="{D8BFC164-F5A8-484A-B7BF-6FE26714466A}">
            <xm:f>NOT(ISERROR(SEARCH($U$2,A2)))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S18:Z19 V19:Z59 S20:U20 U21:U57 T58:U59 O59:U59 AC19:XFD59 N13:Z14 AC13:AI14 AD16:XFD17 N16:Z17 N12:V12 AD12:AE12 AJ12:XFD15 A12:M17 N15:T15 A18:B18 F18 J18:M18 AC18:AD18 AJ18:XFD18 N18:N37 H19:M20 A19:A59 J20:K59 H21:L29 M21:M37 H30:I30 J30:L59 I31 N34:Q36 O38:T57 M38:N41 M42:S1048576 AA59 A60:L1048576 O60:AA1048576 AD60:XFD1048576 T2:U5 O34:Q37 S21:T37</xm:sqref>
        </x14:conditionalFormatting>
        <x14:conditionalFormatting xmlns:xm="http://schemas.microsoft.com/office/excel/2006/main">
          <x14:cfRule type="containsText" priority="92" operator="containsText" id="{E9B17E93-9CFB-473E-A999-03215258D456}">
            <xm:f>NOT(ISERROR(SEARCH($U$2,T8)))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T8:T10</xm:sqref>
        </x14:conditionalFormatting>
        <x14:conditionalFormatting xmlns:xm="http://schemas.microsoft.com/office/excel/2006/main">
          <x14:cfRule type="containsText" priority="27" operator="containsText" id="{CE378C46-79F0-4D2B-89D2-B18A1CBC6952}">
            <xm:f>NOT(ISERROR(SEARCH($U$2,U7)))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U7:AI7</xm:sqref>
        </x14:conditionalFormatting>
        <x14:conditionalFormatting xmlns:xm="http://schemas.microsoft.com/office/excel/2006/main">
          <x14:cfRule type="containsText" priority="64" operator="containsText" id="{F6A57E1C-CB3B-4EE3-AF83-9A1E7A6B2A74}">
            <xm:f>NOT(ISERROR(SEARCH($U$2,W12)))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W12</xm:sqref>
        </x14:conditionalFormatting>
        <x14:conditionalFormatting xmlns:xm="http://schemas.microsoft.com/office/excel/2006/main">
          <x14:cfRule type="containsText" priority="21" operator="containsText" id="{777F31DC-6C41-46B8-8B48-4EB0B6D25F8E}">
            <xm:f>NOT(ISERROR(SEARCH($X$2,W39)))</xm:f>
            <xm:f>$X$2</xm:f>
            <x14:dxf>
              <font>
                <color rgb="FF6600FF"/>
              </font>
              <fill>
                <patternFill>
                  <bgColor rgb="FFCCCCFF"/>
                </patternFill>
              </fill>
            </x14:dxf>
          </x14:cfRule>
          <x14:cfRule type="containsText" priority="24" operator="containsText" id="{16681965-9E40-451A-9EF4-F69A325FE6C9}">
            <xm:f>NOT(ISERROR(SEARCH($U$2,W39)))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W39:W59</xm:sqref>
        </x14:conditionalFormatting>
        <x14:conditionalFormatting xmlns:xm="http://schemas.microsoft.com/office/excel/2006/main">
          <x14:cfRule type="containsText" priority="61" operator="containsText" id="{08125CB4-3900-481A-BA75-C6DC6707BB55}">
            <xm:f>NOT(ISERROR(SEARCH($U$2,X12)))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X12</xm:sqref>
        </x14:conditionalFormatting>
        <x14:conditionalFormatting xmlns:xm="http://schemas.microsoft.com/office/excel/2006/main">
          <x14:cfRule type="containsText" priority="63" operator="containsText" id="{5E177628-E06D-471D-9911-AA7489F2282C}">
            <xm:f>NOT(ISERROR(SEARCH($U$2,Y12)))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Y12</xm:sqref>
        </x14:conditionalFormatting>
        <x14:conditionalFormatting xmlns:xm="http://schemas.microsoft.com/office/excel/2006/main">
          <x14:cfRule type="containsText" priority="13" operator="containsText" id="{77A2D7F2-FCB2-427C-9818-56AF99DBB9BF}">
            <xm:f>NOT(ISERROR(SEARCH($X$2,Y39)))</xm:f>
            <xm:f>$X$2</xm:f>
            <x14:dxf>
              <font>
                <color rgb="FF6600FF"/>
              </font>
              <fill>
                <patternFill>
                  <bgColor rgb="FFCCCCFF"/>
                </patternFill>
              </fill>
            </x14:dxf>
          </x14:cfRule>
          <x14:cfRule type="containsText" priority="16" operator="containsText" id="{CF870D08-E172-4396-AC9F-264DFDA29933}">
            <xm:f>NOT(ISERROR(SEARCH($U$2,Y39)))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Y39:Z59</xm:sqref>
        </x14:conditionalFormatting>
        <x14:conditionalFormatting xmlns:xm="http://schemas.microsoft.com/office/excel/2006/main">
          <x14:cfRule type="containsText" priority="62" operator="containsText" id="{43B35899-D2BC-4333-874F-B9E7E1DA5675}">
            <xm:f>NOT(ISERROR(SEARCH($U$2,Z12)))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48" operator="containsText" id="{5534806D-12A9-4C22-B683-6537FD4D69FF}">
            <xm:f>NOT(ISERROR(SEARCH($U$2,AC12)))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115" operator="containsText" id="{83AA1E3B-D7D3-42F5-82DE-73DB9858F99E}">
            <xm:f>NOT(ISERROR(SEARCH($U$2,AC15)))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AC15:AC16</xm:sqref>
        </x14:conditionalFormatting>
        <x14:conditionalFormatting xmlns:xm="http://schemas.microsoft.com/office/excel/2006/main">
          <x14:cfRule type="containsText" priority="58" operator="containsText" id="{D4D2B392-1A92-4C44-A660-D6738BAD464A}">
            <xm:f>NOT(ISERROR(SEARCH($U$2,AF12)))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AF12</xm:sqref>
        </x14:conditionalFormatting>
        <x14:conditionalFormatting xmlns:xm="http://schemas.microsoft.com/office/excel/2006/main">
          <x14:cfRule type="containsText" priority="55" operator="containsText" id="{6A24A80D-5906-41A9-B135-6D8B20A3C6C1}">
            <xm:f>NOT(ISERROR(SEARCH($U$2,AG12)))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AG12</xm:sqref>
        </x14:conditionalFormatting>
        <x14:conditionalFormatting xmlns:xm="http://schemas.microsoft.com/office/excel/2006/main">
          <x14:cfRule type="containsText" priority="57" operator="containsText" id="{5BA448C6-D2D2-4442-9508-BFDD309635AE}">
            <xm:f>NOT(ISERROR(SEARCH($U$2,AH12)))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AH12</xm:sqref>
        </x14:conditionalFormatting>
        <x14:conditionalFormatting xmlns:xm="http://schemas.microsoft.com/office/excel/2006/main">
          <x14:cfRule type="containsText" priority="56" operator="containsText" id="{A822DED1-FA24-4DCD-9ECC-25ED59988C01}">
            <xm:f>NOT(ISERROR(SEARCH($U$2,AI12)))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AI12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64C2-B597-4B0F-B2D5-B86AD58B3EB3}">
  <dimension ref="D4:I23"/>
  <sheetViews>
    <sheetView tabSelected="1" workbookViewId="0">
      <selection activeCell="D4" sqref="D4:I23"/>
    </sheetView>
  </sheetViews>
  <sheetFormatPr defaultRowHeight="12.75" x14ac:dyDescent="0.2"/>
  <cols>
    <col min="5" max="5" width="12.7109375" bestFit="1" customWidth="1"/>
    <col min="6" max="6" width="11.140625" bestFit="1" customWidth="1"/>
  </cols>
  <sheetData>
    <row r="4" spans="4:9" x14ac:dyDescent="0.2">
      <c r="D4" s="1" t="s">
        <v>30</v>
      </c>
      <c r="E4" s="1" t="s">
        <v>31</v>
      </c>
      <c r="F4" s="27" t="s">
        <v>33</v>
      </c>
      <c r="G4" s="1" t="s">
        <v>32</v>
      </c>
      <c r="H4" s="1" t="s">
        <v>34</v>
      </c>
      <c r="I4" s="1" t="s">
        <v>66</v>
      </c>
    </row>
    <row r="5" spans="4:9" x14ac:dyDescent="0.2">
      <c r="D5" s="1">
        <v>1</v>
      </c>
      <c r="E5" s="1" t="s">
        <v>36</v>
      </c>
      <c r="F5" s="27">
        <v>9083042902</v>
      </c>
      <c r="G5" s="1" t="s">
        <v>37</v>
      </c>
      <c r="H5" s="1">
        <v>3</v>
      </c>
      <c r="I5" s="1" t="s">
        <v>67</v>
      </c>
    </row>
    <row r="6" spans="4:9" x14ac:dyDescent="0.2">
      <c r="D6" s="1">
        <v>2</v>
      </c>
      <c r="E6" s="1" t="s">
        <v>38</v>
      </c>
      <c r="F6" s="27">
        <v>9082172116</v>
      </c>
      <c r="G6" s="1" t="s">
        <v>37</v>
      </c>
      <c r="H6" s="1">
        <v>3.5</v>
      </c>
      <c r="I6" s="1" t="s">
        <v>67</v>
      </c>
    </row>
    <row r="7" spans="4:9" x14ac:dyDescent="0.2">
      <c r="D7" s="1">
        <v>3</v>
      </c>
      <c r="E7" s="1" t="s">
        <v>39</v>
      </c>
      <c r="F7" s="27">
        <v>9085077500</v>
      </c>
      <c r="G7" s="1" t="s">
        <v>37</v>
      </c>
      <c r="H7" s="1">
        <v>3</v>
      </c>
      <c r="I7" s="1" t="s">
        <v>67</v>
      </c>
    </row>
    <row r="8" spans="4:9" x14ac:dyDescent="0.2">
      <c r="D8" s="1">
        <v>4</v>
      </c>
      <c r="E8" s="1" t="s">
        <v>40</v>
      </c>
      <c r="F8" s="27">
        <v>9085774273</v>
      </c>
      <c r="G8" s="1" t="s">
        <v>41</v>
      </c>
      <c r="H8" s="1">
        <v>4</v>
      </c>
      <c r="I8" s="1" t="s">
        <v>67</v>
      </c>
    </row>
    <row r="9" spans="4:9" x14ac:dyDescent="0.2">
      <c r="D9" s="1">
        <v>5</v>
      </c>
      <c r="E9" s="1" t="s">
        <v>42</v>
      </c>
      <c r="F9" s="27">
        <v>9085863385</v>
      </c>
      <c r="G9" s="1" t="s">
        <v>41</v>
      </c>
      <c r="H9" s="1">
        <v>3</v>
      </c>
      <c r="I9" s="1" t="s">
        <v>67</v>
      </c>
    </row>
    <row r="10" spans="4:9" x14ac:dyDescent="0.2">
      <c r="D10" s="1">
        <v>6</v>
      </c>
      <c r="E10" s="1" t="s">
        <v>1</v>
      </c>
      <c r="F10" s="27">
        <v>9088720433</v>
      </c>
      <c r="G10" s="1" t="s">
        <v>41</v>
      </c>
      <c r="H10" s="1">
        <v>4</v>
      </c>
      <c r="I10" s="1" t="s">
        <v>67</v>
      </c>
    </row>
    <row r="11" spans="4:9" x14ac:dyDescent="0.2">
      <c r="D11" s="1">
        <v>7</v>
      </c>
      <c r="E11" s="1" t="s">
        <v>43</v>
      </c>
      <c r="F11" s="27">
        <v>9082687951</v>
      </c>
      <c r="G11" s="1" t="s">
        <v>37</v>
      </c>
      <c r="H11" s="1">
        <v>3</v>
      </c>
      <c r="I11" s="1" t="s">
        <v>67</v>
      </c>
    </row>
    <row r="12" spans="4:9" x14ac:dyDescent="0.2">
      <c r="D12" s="1">
        <v>8</v>
      </c>
      <c r="E12" s="1" t="s">
        <v>44</v>
      </c>
      <c r="F12" s="27">
        <v>9085004213</v>
      </c>
      <c r="G12" s="1" t="s">
        <v>41</v>
      </c>
      <c r="H12" s="1">
        <v>3.5</v>
      </c>
      <c r="I12" s="1" t="s">
        <v>67</v>
      </c>
    </row>
    <row r="13" spans="4:9" x14ac:dyDescent="0.2">
      <c r="D13" s="1">
        <v>9</v>
      </c>
      <c r="E13" s="1" t="s">
        <v>3</v>
      </c>
      <c r="F13" s="27">
        <v>9085287696</v>
      </c>
      <c r="G13" s="1" t="s">
        <v>41</v>
      </c>
      <c r="H13" s="1">
        <v>4</v>
      </c>
      <c r="I13" s="1" t="s">
        <v>67</v>
      </c>
    </row>
    <row r="14" spans="4:9" x14ac:dyDescent="0.2">
      <c r="D14" s="1">
        <v>10</v>
      </c>
      <c r="E14" s="1" t="s">
        <v>45</v>
      </c>
      <c r="F14" s="27">
        <v>9086194475</v>
      </c>
      <c r="G14" s="1" t="s">
        <v>41</v>
      </c>
      <c r="H14" s="1">
        <v>4.25</v>
      </c>
      <c r="I14" s="1" t="s">
        <v>67</v>
      </c>
    </row>
    <row r="15" spans="4:9" x14ac:dyDescent="0.2">
      <c r="D15" s="1">
        <v>11</v>
      </c>
      <c r="E15" s="1" t="s">
        <v>46</v>
      </c>
      <c r="F15" s="27">
        <v>9088924833</v>
      </c>
      <c r="G15" s="1" t="s">
        <v>47</v>
      </c>
      <c r="H15" s="1">
        <v>4</v>
      </c>
      <c r="I15" s="1" t="s">
        <v>67</v>
      </c>
    </row>
    <row r="16" spans="4:9" x14ac:dyDescent="0.2">
      <c r="D16" s="1">
        <v>12</v>
      </c>
      <c r="E16" s="1" t="s">
        <v>48</v>
      </c>
      <c r="F16" s="27">
        <v>9083922379</v>
      </c>
      <c r="G16" s="1" t="s">
        <v>49</v>
      </c>
      <c r="H16" s="1">
        <v>4</v>
      </c>
      <c r="I16" s="1" t="s">
        <v>67</v>
      </c>
    </row>
    <row r="17" spans="4:9" x14ac:dyDescent="0.2">
      <c r="D17" s="1">
        <v>13</v>
      </c>
      <c r="E17" s="1" t="s">
        <v>51</v>
      </c>
      <c r="F17" s="27">
        <v>9086255023</v>
      </c>
      <c r="G17" s="1" t="s">
        <v>37</v>
      </c>
      <c r="H17" s="1">
        <v>4</v>
      </c>
      <c r="I17" s="1" t="s">
        <v>67</v>
      </c>
    </row>
    <row r="18" spans="4:9" x14ac:dyDescent="0.2">
      <c r="D18" s="1">
        <v>14</v>
      </c>
      <c r="E18" s="1" t="s">
        <v>52</v>
      </c>
      <c r="F18" s="27">
        <v>9083297532</v>
      </c>
      <c r="G18" s="1" t="s">
        <v>37</v>
      </c>
      <c r="H18" s="1">
        <v>3.75</v>
      </c>
      <c r="I18" s="1" t="s">
        <v>67</v>
      </c>
    </row>
    <row r="19" spans="4:9" x14ac:dyDescent="0.2">
      <c r="D19" s="1">
        <v>15</v>
      </c>
      <c r="E19" s="24" t="s">
        <v>53</v>
      </c>
      <c r="F19" s="28">
        <v>9088122100</v>
      </c>
      <c r="G19" s="24" t="s">
        <v>47</v>
      </c>
      <c r="H19" s="24">
        <v>4</v>
      </c>
      <c r="I19" s="1" t="s">
        <v>67</v>
      </c>
    </row>
    <row r="20" spans="4:9" x14ac:dyDescent="0.2">
      <c r="D20" s="1">
        <v>16</v>
      </c>
      <c r="E20" s="1" t="s">
        <v>54</v>
      </c>
      <c r="F20" s="26">
        <v>9083100187</v>
      </c>
      <c r="G20" s="1" t="s">
        <v>55</v>
      </c>
      <c r="H20" s="1">
        <v>3.75</v>
      </c>
      <c r="I20" s="1" t="s">
        <v>67</v>
      </c>
    </row>
    <row r="21" spans="4:9" x14ac:dyDescent="0.2">
      <c r="D21" s="1">
        <v>17</v>
      </c>
      <c r="E21" s="1" t="s">
        <v>57</v>
      </c>
      <c r="F21" s="26">
        <v>9085077440</v>
      </c>
      <c r="G21" s="1" t="s">
        <v>55</v>
      </c>
      <c r="H21" s="1">
        <v>3.75</v>
      </c>
      <c r="I21" s="1" t="s">
        <v>67</v>
      </c>
    </row>
    <row r="22" spans="4:9" x14ac:dyDescent="0.2">
      <c r="D22" s="1">
        <v>18</v>
      </c>
      <c r="E22" s="1" t="s">
        <v>59</v>
      </c>
      <c r="F22" s="26">
        <v>9088928428</v>
      </c>
      <c r="G22" s="1" t="s">
        <v>55</v>
      </c>
      <c r="H22" s="1">
        <v>3.75</v>
      </c>
      <c r="I22" s="1" t="s">
        <v>67</v>
      </c>
    </row>
    <row r="23" spans="4:9" x14ac:dyDescent="0.2">
      <c r="D23" s="1">
        <v>19</v>
      </c>
      <c r="E23" s="1" t="s">
        <v>60</v>
      </c>
      <c r="F23" s="26">
        <v>9083031793</v>
      </c>
      <c r="G23" s="1" t="s">
        <v>55</v>
      </c>
      <c r="H23" s="1">
        <v>3.75</v>
      </c>
      <c r="I23" s="1" t="s">
        <v>67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F79F8E31-41BD-4901-A11F-FE32E103C712}">
            <xm:f>NOT(ISERROR(SEARCH($X$2,D4)))</xm:f>
            <xm:f>$X$2</xm:f>
            <x14:dxf>
              <font>
                <color rgb="FF6600FF"/>
              </font>
              <fill>
                <patternFill>
                  <bgColor rgb="FFCCCCFF"/>
                </patternFill>
              </fill>
            </x14:dxf>
          </x14:cfRule>
          <xm:sqref>D4:E23 F20:H23</xm:sqref>
        </x14:conditionalFormatting>
        <x14:conditionalFormatting xmlns:xm="http://schemas.microsoft.com/office/excel/2006/main">
          <x14:cfRule type="containsText" priority="1" operator="containsText" id="{9609ABDB-3095-40F4-AE0C-8891A280197A}">
            <xm:f>NOT(ISERROR(SEARCH($X$2,F4)))</xm:f>
            <xm:f>$X$2</xm:f>
            <x14:dxf>
              <font>
                <color rgb="FF6600FF"/>
              </font>
              <fill>
                <patternFill>
                  <bgColor rgb="FFCCCCFF"/>
                </patternFill>
              </fill>
            </x14:dxf>
          </x14:cfRule>
          <x14:cfRule type="containsText" priority="2" operator="containsText" id="{B5E09111-999C-458D-985E-F82692153A81}">
            <xm:f>NOT(ISERROR(SEARCH($U$2,F4)))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I6:I23 F4:I5 F6:H19</xm:sqref>
        </x14:conditionalFormatting>
        <x14:conditionalFormatting xmlns:xm="http://schemas.microsoft.com/office/excel/2006/main">
          <x14:cfRule type="containsText" priority="4" operator="containsText" id="{26AD4612-9BA5-46C7-BF15-5643444700BD}">
            <xm:f>NOT(ISERROR(SEARCH($U$2,D4)))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D4:E23 F20:H23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2020-2021 Schedule</vt:lpstr>
      <vt:lpstr>Sheet1</vt:lpstr>
      <vt:lpstr>Matches</vt:lpstr>
      <vt:lpstr>NAME</vt:lpstr>
      <vt:lpstr>Player</vt:lpstr>
      <vt:lpstr>Player_Name</vt:lpstr>
      <vt:lpstr>Player_Other</vt:lpstr>
      <vt:lpstr>Players</vt:lpstr>
      <vt:lpstr>Week_Of_Date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2024-01-15T15:56:37Z</dcterms:created>
  <dcterms:modified xsi:type="dcterms:W3CDTF">2025-12-15T03:08:15Z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_Player">
    <vt:lpwstr/>
  </property>
  <property fmtid="{D5CDD505-2E9C-101B-9397-08002B2CF9AE}" pid="3" name="PROP_Player_Other">
    <vt:lpwstr/>
  </property>
  <property fmtid="{D5CDD505-2E9C-101B-9397-08002B2CF9AE}" pid="4" name="PROP_Week_Of_Date">
    <vt:lpwstr/>
  </property>
</Properties>
</file>